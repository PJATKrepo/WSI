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/>
  <mc:AlternateContent xmlns:mc="http://schemas.openxmlformats.org/markup-compatibility/2006">
    <mc:Choice Requires="x15">
      <x15ac:absPath xmlns:x15ac="http://schemas.microsoft.com/office/spreadsheetml/2010/11/ac" url="Z:\WSI\Lab06-EXCEL\"/>
    </mc:Choice>
  </mc:AlternateContent>
  <xr:revisionPtr revIDLastSave="0" documentId="13_ncr:1_{2D9A7D5A-0F82-4785-94DC-EFE6D73685D8}" xr6:coauthVersionLast="36" xr6:coauthVersionMax="47" xr10:uidLastSave="{00000000-0000-0000-0000-000000000000}"/>
  <bookViews>
    <workbookView xWindow="0" yWindow="0" windowWidth="28800" windowHeight="12105" xr2:uid="{4122B089-3A86-5940-A45E-54E4F5FEB21F}"/>
  </bookViews>
  <sheets>
    <sheet name="Task 1 - Column chart" sheetId="1" r:id="rId1"/>
    <sheet name="Task 2 - Scatter chart" sheetId="4" r:id="rId2"/>
    <sheet name="Task 3- Line chart" sheetId="5" r:id="rId3"/>
    <sheet name="Task 4 - Pie chart" sheetId="6" r:id="rId4"/>
    <sheet name="Task 5-Surface" sheetId="8" r:id="rId5"/>
  </sheets>
  <externalReferences>
    <externalReference r:id="rId6"/>
  </externalReferenc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5" i="8" l="1"/>
  <c r="O35" i="8"/>
  <c r="N35" i="8"/>
  <c r="M35" i="8"/>
  <c r="L35" i="8"/>
  <c r="K35" i="8"/>
  <c r="J35" i="8"/>
  <c r="I35" i="8"/>
  <c r="H35" i="8"/>
  <c r="P34" i="8"/>
  <c r="O34" i="8"/>
  <c r="N34" i="8"/>
  <c r="M34" i="8"/>
  <c r="L34" i="8"/>
  <c r="K34" i="8"/>
  <c r="J34" i="8"/>
  <c r="I34" i="8"/>
  <c r="H34" i="8"/>
  <c r="P33" i="8"/>
  <c r="O33" i="8"/>
  <c r="N33" i="8"/>
  <c r="M33" i="8"/>
  <c r="L33" i="8"/>
  <c r="K33" i="8"/>
  <c r="J33" i="8"/>
  <c r="I33" i="8"/>
  <c r="H33" i="8"/>
  <c r="P32" i="8"/>
  <c r="O32" i="8"/>
  <c r="N32" i="8"/>
  <c r="M32" i="8"/>
  <c r="L32" i="8"/>
  <c r="K32" i="8"/>
  <c r="J32" i="8"/>
  <c r="I32" i="8"/>
  <c r="H32" i="8"/>
  <c r="P31" i="8"/>
  <c r="O31" i="8"/>
  <c r="N31" i="8"/>
  <c r="M31" i="8"/>
  <c r="L31" i="8"/>
  <c r="K31" i="8"/>
  <c r="J31" i="8"/>
  <c r="I31" i="8"/>
  <c r="H31" i="8"/>
  <c r="P30" i="8"/>
  <c r="O30" i="8"/>
  <c r="N30" i="8"/>
  <c r="M30" i="8"/>
  <c r="L30" i="8"/>
  <c r="K30" i="8"/>
  <c r="J30" i="8"/>
  <c r="I30" i="8"/>
  <c r="H30" i="8"/>
  <c r="P29" i="8"/>
  <c r="O29" i="8"/>
  <c r="N29" i="8"/>
  <c r="M29" i="8"/>
  <c r="L29" i="8"/>
  <c r="K29" i="8"/>
  <c r="J29" i="8"/>
  <c r="I29" i="8"/>
  <c r="H29" i="8"/>
  <c r="P28" i="8"/>
  <c r="O28" i="8"/>
  <c r="N28" i="8"/>
  <c r="M28" i="8"/>
  <c r="L28" i="8"/>
  <c r="K28" i="8"/>
  <c r="J28" i="8"/>
  <c r="I28" i="8"/>
  <c r="H28" i="8"/>
  <c r="P27" i="8"/>
  <c r="O27" i="8"/>
  <c r="N27" i="8"/>
  <c r="M27" i="8"/>
  <c r="L27" i="8"/>
  <c r="K27" i="8"/>
  <c r="J27" i="8"/>
  <c r="I27" i="8"/>
  <c r="H27" i="8"/>
  <c r="O12" i="8"/>
  <c r="N12" i="8"/>
  <c r="H12" i="8"/>
  <c r="Q12" i="8" s="1"/>
  <c r="H11" i="8"/>
  <c r="L11" i="8" s="1"/>
  <c r="H10" i="8"/>
  <c r="Q10" i="8" s="1"/>
  <c r="Q9" i="8"/>
  <c r="L9" i="8"/>
  <c r="H9" i="8"/>
  <c r="P9" i="8" s="1"/>
  <c r="L8" i="8"/>
  <c r="K8" i="8"/>
  <c r="H8" i="8"/>
  <c r="J8" i="8" s="1"/>
  <c r="Q7" i="8"/>
  <c r="P7" i="8"/>
  <c r="H7" i="8"/>
  <c r="O7" i="8" s="1"/>
  <c r="Q6" i="8"/>
  <c r="P6" i="8"/>
  <c r="O6" i="8"/>
  <c r="L6" i="8"/>
  <c r="K6" i="8"/>
  <c r="J6" i="8"/>
  <c r="H6" i="8"/>
  <c r="N6" i="8" s="1"/>
  <c r="L5" i="8"/>
  <c r="K5" i="8"/>
  <c r="J5" i="8"/>
  <c r="I5" i="8"/>
  <c r="H5" i="8"/>
  <c r="O4" i="8"/>
  <c r="N4" i="8"/>
  <c r="H4" i="8"/>
  <c r="Q4" i="8" s="1"/>
  <c r="Q3" i="8"/>
  <c r="Q5" i="8" s="1"/>
  <c r="P3" i="8"/>
  <c r="P4" i="8" s="1"/>
  <c r="O3" i="8"/>
  <c r="O9" i="8" s="1"/>
  <c r="N3" i="8"/>
  <c r="N9" i="8" s="1"/>
  <c r="M3" i="8"/>
  <c r="M6" i="8" s="1"/>
  <c r="L3" i="8"/>
  <c r="K3" i="8"/>
  <c r="J3" i="8"/>
  <c r="I3" i="8"/>
  <c r="I10" i="8" l="1"/>
  <c r="M11" i="8"/>
  <c r="N11" i="8"/>
  <c r="J10" i="8"/>
  <c r="O8" i="8"/>
  <c r="P8" i="8"/>
  <c r="O11" i="8"/>
  <c r="P11" i="8"/>
  <c r="I7" i="8"/>
  <c r="Q11" i="8"/>
  <c r="J7" i="8"/>
  <c r="O5" i="8"/>
  <c r="N10" i="8"/>
  <c r="J12" i="8"/>
  <c r="L10" i="8"/>
  <c r="Q8" i="8"/>
  <c r="J4" i="8"/>
  <c r="L7" i="8"/>
  <c r="K4" i="8"/>
  <c r="I9" i="8"/>
  <c r="K12" i="8"/>
  <c r="N7" i="8"/>
  <c r="J9" i="8"/>
  <c r="P10" i="8"/>
  <c r="L12" i="8"/>
  <c r="M8" i="8"/>
  <c r="N8" i="8"/>
  <c r="M5" i="8"/>
  <c r="K10" i="8"/>
  <c r="N5" i="8"/>
  <c r="I4" i="8"/>
  <c r="K7" i="8"/>
  <c r="M10" i="8"/>
  <c r="I12" i="8"/>
  <c r="P5" i="8"/>
  <c r="M7" i="8"/>
  <c r="O10" i="8"/>
  <c r="L4" i="8"/>
  <c r="M4" i="8"/>
  <c r="I6" i="8"/>
  <c r="K9" i="8"/>
  <c r="M12" i="8"/>
  <c r="M9" i="8"/>
  <c r="I11" i="8"/>
  <c r="P12" i="8"/>
  <c r="J11" i="8"/>
  <c r="I8" i="8"/>
  <c r="K11" i="8"/>
  <c r="C6" i="4" l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</calcChain>
</file>

<file path=xl/sharedStrings.xml><?xml version="1.0" encoding="utf-8"?>
<sst xmlns="http://schemas.openxmlformats.org/spreadsheetml/2006/main" count="137" uniqueCount="53">
  <si>
    <t>Task 1 - Column chart</t>
  </si>
  <si>
    <t>Create a column chart for the data below.</t>
  </si>
  <si>
    <t>YouTube video views (in millions)</t>
  </si>
  <si>
    <t>Month</t>
  </si>
  <si>
    <t>Movie 1</t>
  </si>
  <si>
    <t>Movie 2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</si>
  <si>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</si>
  <si>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</si>
  <si>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</si>
  <si>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</si>
  <si>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</si>
  <si>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</si>
  <si>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</si>
  <si>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</si>
  <si>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</si>
  <si>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</si>
  <si>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</si>
  <si>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</si>
  <si>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Task 4 - Scatter chart with lines</t>
  </si>
  <si>
    <t>Write formulas for F1 and F2 functions using x values, and then create a single scatter chart with lines for both of them.</t>
  </si>
  <si>
    <t>X</t>
  </si>
  <si>
    <t>F1(x)=</t>
  </si>
  <si>
    <t>F2(x)=</t>
  </si>
  <si>
    <t>Task 5 - Line chart</t>
  </si>
  <si>
    <t>Create a line chart based on your sales transaction data where sum of sales for each month will be displayed. Use pivot table to prepare the data.</t>
  </si>
  <si>
    <t>Transaction number</t>
  </si>
  <si>
    <t>Sales value (PLN)</t>
  </si>
  <si>
    <t>January</t>
  </si>
  <si>
    <t>February</t>
  </si>
  <si>
    <t>March</t>
  </si>
  <si>
    <t>April</t>
  </si>
  <si>
    <t>May</t>
  </si>
  <si>
    <t>June</t>
  </si>
  <si>
    <t>July</t>
  </si>
  <si>
    <t>Sum of Sales value (PLN)</t>
  </si>
  <si>
    <t>August</t>
  </si>
  <si>
    <t>Total</t>
  </si>
  <si>
    <t>September</t>
  </si>
  <si>
    <t>December</t>
  </si>
  <si>
    <t>October</t>
  </si>
  <si>
    <t>November</t>
  </si>
  <si>
    <t>Grand Total</t>
  </si>
  <si>
    <t>Task 6 - Pie chart</t>
  </si>
  <si>
    <t>Create a pie chart where you will display the sum of sales for each product. Use pivot table to prepare the data.</t>
  </si>
  <si>
    <t>Product</t>
  </si>
  <si>
    <t>Laptop</t>
  </si>
  <si>
    <t>Phone</t>
  </si>
  <si>
    <t>Tablet</t>
  </si>
  <si>
    <t>Monitor</t>
  </si>
  <si>
    <t>Keyboard</t>
  </si>
  <si>
    <t xml:space="preserve">Create surface chart </t>
  </si>
  <si>
    <t>Zadanie 8</t>
  </si>
  <si>
    <t>Zadanie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</si>
</sst>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rgb="FF000000"/>
      <name val="Aptos Narrow"/>
    </font>
    <font>
      <sz val="12"/>
      <color rgb="FF000000"/>
      <name val="Aptos Narrow"/>
    </font>
    <font>
      <sz val="12"/>
      <color rgb="FFFFFFFF"/>
      <name val="Aptos Narrow"/>
    </font>
    <font>
      <sz val="11"/>
      <color rgb="FF000000"/>
      <name val="Aptos Narrow"/>
    </font>
    <font>
      <b/>
      <sz val="12"/>
      <color rgb="FF000000"/>
      <name val="Aptos Narrow"/>
    </font>
    <font>
      <sz val="12"/>
      <color theme="0"/>
      <name val="Aptos Narrow"/>
    </font>
    <font>
      <b/>
      <i/>
      <sz val="12"/>
      <color theme="0"/>
      <name val="Aptos Narrow"/>
    </font>
    <font>
      <b/>
      <sz val="12"/>
      <color rgb="FFFFFFFF"/>
      <name val="Aptos Narrow"/>
      <charset val="238"/>
    </font>
  </fonts>
  <fills count="5">
    <fill>
      <patternFill patternType="none"/>
    </fill>
    <fill>
      <patternFill patternType="gray125"/>
    </fill>
    <fill>
      <patternFill patternType="solid">
        <fgColor rgb="FFC1F0C8"/>
        <bgColor rgb="FFC1F0C8"/>
      </patternFill>
    </fill>
    <fill>
      <patternFill patternType="solid">
        <fgColor rgb="FF47D359"/>
        <bgColor rgb="FF47D359"/>
      </patternFill>
    </fill>
    <fill>
      <patternFill patternType="solid">
        <fgColor rgb="FF196B24"/>
        <bgColor rgb="FF196B2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2" fillId="4" borderId="0" applyNumberFormat="0" applyBorder="0" applyAlignment="0" applyProtection="0"/>
    <xf numFmtId="0" fontId="1" fillId="2" borderId="0" applyNumberFormat="0" applyFont="0" applyBorder="0" applyAlignment="0" applyProtection="0"/>
    <xf numFmtId="0" fontId="1" fillId="3" borderId="0" applyNumberFormat="0" applyFont="0" applyBorder="0" applyAlignment="0" applyProtection="0"/>
    <xf numFmtId="0" fontId="3" fillId="0" borderId="0" applyNumberFormat="0" applyBorder="0" applyProtection="0"/>
  </cellStyleXfs>
  <cellXfs count="35">
    <xf numFmtId="0" fontId="0" fillId="0" borderId="0" xfId="0"/>
    <xf numFmtId="0" fontId="3" fillId="0" borderId="0" xfId="4" applyProtection="1"/>
    <xf numFmtId="49" fontId="4" fillId="3" borderId="2" xfId="3" applyNumberFormat="1" applyFont="1" applyBorder="1" applyAlignment="1">
      <alignment horizontal="center"/>
    </xf>
    <xf numFmtId="0" fontId="4" fillId="3" borderId="2" xfId="3" applyFont="1" applyBorder="1" applyAlignment="1">
      <alignment horizontal="center"/>
    </xf>
    <xf numFmtId="49" fontId="3" fillId="0" borderId="2" xfId="4" applyNumberFormat="1" applyBorder="1" applyAlignment="1" applyProtection="1">
      <alignment vertical="center" wrapText="1"/>
    </xf>
    <xf numFmtId="0" fontId="3" fillId="0" borderId="2" xfId="4" applyBorder="1" applyAlignment="1" applyProtection="1">
      <alignment vertical="center" wrapText="1"/>
    </xf>
    <xf numFmtId="0" fontId="3" fillId="0" borderId="0" xfId="4" applyAlignment="1" applyProtection="1">
      <alignment vertical="center" wrapText="1"/>
    </xf>
    <xf numFmtId="0" fontId="4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9" xfId="0" applyBorder="1"/>
    <xf numFmtId="0" fontId="2" fillId="4" borderId="4" xfId="1" applyBorder="1"/>
    <xf numFmtId="0" fontId="2" fillId="4" borderId="5" xfId="1" applyBorder="1"/>
    <xf numFmtId="0" fontId="2" fillId="4" borderId="6" xfId="1" applyBorder="1"/>
    <xf numFmtId="0" fontId="0" fillId="0" borderId="7" xfId="0" applyBorder="1"/>
    <xf numFmtId="0" fontId="1" fillId="2" borderId="3" xfId="2" applyBorder="1"/>
    <xf numFmtId="0" fontId="1" fillId="2" borderId="8" xfId="2" applyBorder="1"/>
    <xf numFmtId="0" fontId="1" fillId="2" borderId="10" xfId="2" applyBorder="1"/>
    <xf numFmtId="0" fontId="1" fillId="2" borderId="11" xfId="2" applyBorder="1"/>
    <xf numFmtId="0" fontId="0" fillId="0" borderId="11" xfId="0" applyBorder="1"/>
    <xf numFmtId="0" fontId="0" fillId="0" borderId="3" xfId="0" applyBorder="1"/>
    <xf numFmtId="0" fontId="0" fillId="0" borderId="8" xfId="0" applyBorder="1"/>
    <xf numFmtId="0" fontId="0" fillId="0" borderId="10" xfId="0" applyBorder="1"/>
    <xf numFmtId="0" fontId="2" fillId="4" borderId="3" xfId="1" applyBorder="1"/>
    <xf numFmtId="0" fontId="0" fillId="0" borderId="0" xfId="0" pivotButton="1"/>
    <xf numFmtId="10" fontId="0" fillId="0" borderId="0" xfId="0" applyNumberFormat="1"/>
    <xf numFmtId="0" fontId="7" fillId="4" borderId="0" xfId="1" applyFont="1" applyAlignment="1">
      <alignment horizontal="left"/>
    </xf>
    <xf numFmtId="0" fontId="2" fillId="4" borderId="0" xfId="1" applyAlignment="1">
      <alignment horizontal="left"/>
    </xf>
    <xf numFmtId="0" fontId="0" fillId="3" borderId="0" xfId="3" applyFont="1" applyAlignment="1">
      <alignment horizontal="left"/>
    </xf>
    <xf numFmtId="0" fontId="7" fillId="4" borderId="1" xfId="1" applyFont="1" applyBorder="1" applyAlignment="1">
      <alignment horizontal="center"/>
    </xf>
    <xf numFmtId="0" fontId="0" fillId="3" borderId="0" xfId="3" applyFont="1" applyAlignment="1">
      <alignment horizontal="left" wrapText="1"/>
    </xf>
    <xf numFmtId="0" fontId="1" fillId="3" borderId="0" xfId="3" applyAlignment="1">
      <alignment horizontal="left" wrapText="1"/>
    </xf>
    <xf numFmtId="0" fontId="0" fillId="0" borderId="0" xfId="0" applyAlignme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5">
    <cellStyle name="20% - Accent3" xfId="2" builtinId="38" customBuiltin="1"/>
    <cellStyle name="60% - Accent3" xfId="3" builtinId="40" customBuiltin="1"/>
    <cellStyle name="Accent3" xfId="1" builtinId="37" customBuiltin="1"/>
    <cellStyle name="Normal" xfId="0" builtinId="0" customBuiltin="1"/>
    <cellStyle name="Normalny 2" xfId="4" xr:uid="{D4A45229-6C36-414A-8A7C-0319377C301B}"/>
  </cellStyles>
  <dxfs count="14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Views</a:t>
            </a:r>
          </a:p>
          <a:p>
            <a:pPr>
              <a:defRPr/>
            </a:pP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1 - Column chart'!$B$5:$B$6</c:f>
              <c:strCache>
                <c:ptCount val="2"/>
                <c:pt idx="0">
                  <c:v>YouTube video views (in millions)</c:v>
                </c:pt>
                <c:pt idx="1">
                  <c:v>Movie 1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1 - Column chart'!$A$7:$A$18</c:f>
              <c:strCache>
                <c:ptCount val="12"/>
                <c:pt idx="0">
                  <c:v>January 2025</c:v>
                </c:pt>
                <c:pt idx="1">
                  <c:v>February 2025</c:v>
                </c:pt>
                <c:pt idx="2">
                  <c:v>March 2025</c:v>
                </c:pt>
                <c:pt idx="3">
                  <c:v>April 2025</c:v>
                </c:pt>
                <c:pt idx="4">
                  <c:v>May 2025</c:v>
                </c:pt>
                <c:pt idx="5">
                  <c:v>June 2025</c:v>
                </c:pt>
                <c:pt idx="6">
                  <c:v>July 2025</c:v>
                </c:pt>
                <c:pt idx="7">
                  <c:v>August 2025</c:v>
                </c:pt>
                <c:pt idx="8">
                  <c:v>September 2025</c:v>
                </c:pt>
                <c:pt idx="9">
                  <c:v>October 2025</c:v>
                </c:pt>
                <c:pt idx="10">
                  <c:v>November 2025</c:v>
                </c:pt>
                <c:pt idx="11">
                  <c:v>December 2025</c:v>
                </c:pt>
              </c:strCache>
            </c:strRef>
          </c:cat>
          <c:val>
            <c:numRef>
              <c:f>'Task 1 - Column chart'!$B$7:$B$18</c:f>
              <c:numCache>
                <c:formatCode>General</c:formatCode>
                <c:ptCount val="12"/>
                <c:pt idx="0">
                  <c:v>62.4</c:v>
                </c:pt>
                <c:pt idx="1">
                  <c:v>58.9</c:v>
                </c:pt>
                <c:pt idx="2">
                  <c:v>65.2</c:v>
                </c:pt>
                <c:pt idx="3">
                  <c:v>61.7</c:v>
                </c:pt>
                <c:pt idx="4">
                  <c:v>70.3</c:v>
                </c:pt>
                <c:pt idx="5">
                  <c:v>68.8</c:v>
                </c:pt>
                <c:pt idx="6">
                  <c:v>75.099999999999994</c:v>
                </c:pt>
                <c:pt idx="7">
                  <c:v>77.900000000000006</c:v>
                </c:pt>
                <c:pt idx="8">
                  <c:v>73.400000000000006</c:v>
                </c:pt>
                <c:pt idx="9">
                  <c:v>80.5</c:v>
                </c:pt>
                <c:pt idx="10">
                  <c:v>82.1</c:v>
                </c:pt>
                <c:pt idx="11">
                  <c:v>90.7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18-423E-8A43-8043F7ECDD11}"/>
            </c:ext>
          </c:extLst>
        </c:ser>
        <c:ser>
          <c:idx val="1"/>
          <c:order val="1"/>
          <c:tx>
            <c:strRef>
              <c:f>'Task 1 - Column chart'!$C$5:$C$6</c:f>
              <c:strCache>
                <c:ptCount val="2"/>
                <c:pt idx="0">
                  <c:v>YouTube video views (in millions)</c:v>
                </c:pt>
                <c:pt idx="1">
                  <c:v>Movie 2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1 - Column chart'!$A$7:$A$18</c:f>
              <c:strCache>
                <c:ptCount val="12"/>
                <c:pt idx="0">
                  <c:v>January 2025</c:v>
                </c:pt>
                <c:pt idx="1">
                  <c:v>February 2025</c:v>
                </c:pt>
                <c:pt idx="2">
                  <c:v>March 2025</c:v>
                </c:pt>
                <c:pt idx="3">
                  <c:v>April 2025</c:v>
                </c:pt>
                <c:pt idx="4">
                  <c:v>May 2025</c:v>
                </c:pt>
                <c:pt idx="5">
                  <c:v>June 2025</c:v>
                </c:pt>
                <c:pt idx="6">
                  <c:v>July 2025</c:v>
                </c:pt>
                <c:pt idx="7">
                  <c:v>August 2025</c:v>
                </c:pt>
                <c:pt idx="8">
                  <c:v>September 2025</c:v>
                </c:pt>
                <c:pt idx="9">
                  <c:v>October 2025</c:v>
                </c:pt>
                <c:pt idx="10">
                  <c:v>November 2025</c:v>
                </c:pt>
                <c:pt idx="11">
                  <c:v>December 2025</c:v>
                </c:pt>
              </c:strCache>
            </c:strRef>
          </c:cat>
          <c:val>
            <c:numRef>
              <c:f>'Task 1 - Column chart'!$C$7:$C$18</c:f>
              <c:numCache>
                <c:formatCode>General</c:formatCode>
                <c:ptCount val="12"/>
                <c:pt idx="0">
                  <c:v>59.3</c:v>
                </c:pt>
                <c:pt idx="1">
                  <c:v>59.3</c:v>
                </c:pt>
                <c:pt idx="2">
                  <c:v>63.7</c:v>
                </c:pt>
                <c:pt idx="3">
                  <c:v>66.099999999999994</c:v>
                </c:pt>
                <c:pt idx="4">
                  <c:v>72.900000000000006</c:v>
                </c:pt>
                <c:pt idx="5">
                  <c:v>69.5</c:v>
                </c:pt>
                <c:pt idx="6">
                  <c:v>78.2</c:v>
                </c:pt>
                <c:pt idx="7">
                  <c:v>81.599999999999994</c:v>
                </c:pt>
                <c:pt idx="8">
                  <c:v>76.8</c:v>
                </c:pt>
                <c:pt idx="9">
                  <c:v>84</c:v>
                </c:pt>
                <c:pt idx="10">
                  <c:v>88.4</c:v>
                </c:pt>
                <c:pt idx="11">
                  <c:v>94.9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18-423E-8A43-8043F7ECDD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663921520"/>
        <c:axId val="676620512"/>
      </c:barChart>
      <c:catAx>
        <c:axId val="6639215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76620512"/>
        <c:crosses val="autoZero"/>
        <c:auto val="1"/>
        <c:lblAlgn val="ctr"/>
        <c:lblOffset val="100"/>
        <c:noMultiLvlLbl val="0"/>
      </c:catAx>
      <c:valAx>
        <c:axId val="6766205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63921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Functions</a:t>
            </a:r>
          </a:p>
          <a:p>
            <a:pPr>
              <a:defRPr/>
            </a:pPr>
            <a:endParaRPr lang="pl-PL"/>
          </a:p>
        </c:rich>
      </c:tx>
      <c:layout>
        <c:manualLayout>
          <c:xMode val="edge"/>
          <c:yMode val="edge"/>
          <c:x val="0.40242344706911642"/>
          <c:y val="6.94444444444444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'Task 2 - Scatter chart'!$B$5</c:f>
              <c:strCache>
                <c:ptCount val="1"/>
                <c:pt idx="0">
                  <c:v>F1(x)=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'Task 2 - Scatter chart'!$A$6:$A$36</c:f>
              <c:numCache>
                <c:formatCode>General</c:formatCode>
                <c:ptCount val="31"/>
                <c:pt idx="0">
                  <c:v>-15</c:v>
                </c:pt>
                <c:pt idx="1">
                  <c:v>-14</c:v>
                </c:pt>
                <c:pt idx="2">
                  <c:v>-13</c:v>
                </c:pt>
                <c:pt idx="3">
                  <c:v>-12</c:v>
                </c:pt>
                <c:pt idx="4">
                  <c:v>-11</c:v>
                </c:pt>
                <c:pt idx="5">
                  <c:v>-10</c:v>
                </c:pt>
                <c:pt idx="6">
                  <c:v>-9</c:v>
                </c:pt>
                <c:pt idx="7">
                  <c:v>-8</c:v>
                </c:pt>
                <c:pt idx="8">
                  <c:v>-7</c:v>
                </c:pt>
                <c:pt idx="9">
                  <c:v>-6</c:v>
                </c:pt>
                <c:pt idx="10">
                  <c:v>-5</c:v>
                </c:pt>
                <c:pt idx="11">
                  <c:v>-4</c:v>
                </c:pt>
                <c:pt idx="12">
                  <c:v>-3</c:v>
                </c:pt>
                <c:pt idx="13">
                  <c:v>-2</c:v>
                </c:pt>
                <c:pt idx="14">
                  <c:v>-1</c:v>
                </c:pt>
                <c:pt idx="15">
                  <c:v>0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19">
                  <c:v>4</c:v>
                </c:pt>
                <c:pt idx="20">
                  <c:v>5</c:v>
                </c:pt>
                <c:pt idx="21">
                  <c:v>6</c:v>
                </c:pt>
                <c:pt idx="22">
                  <c:v>7</c:v>
                </c:pt>
                <c:pt idx="23">
                  <c:v>8</c:v>
                </c:pt>
                <c:pt idx="24">
                  <c:v>9</c:v>
                </c:pt>
                <c:pt idx="25">
                  <c:v>10</c:v>
                </c:pt>
                <c:pt idx="26">
                  <c:v>11</c:v>
                </c:pt>
                <c:pt idx="27">
                  <c:v>12</c:v>
                </c:pt>
                <c:pt idx="28">
                  <c:v>13</c:v>
                </c:pt>
                <c:pt idx="29">
                  <c:v>14</c:v>
                </c:pt>
                <c:pt idx="30">
                  <c:v>15</c:v>
                </c:pt>
              </c:numCache>
            </c:numRef>
          </c:xVal>
          <c:yVal>
            <c:numRef>
              <c:f>'Task 2 - Scatter chart'!$B$6:$B$36</c:f>
              <c:numCache>
                <c:formatCode>General</c:formatCode>
                <c:ptCount val="31"/>
                <c:pt idx="0">
                  <c:v>0.12867299186696837</c:v>
                </c:pt>
                <c:pt idx="1">
                  <c:v>4.3192817450049071E-3</c:v>
                </c:pt>
                <c:pt idx="2">
                  <c:v>0.12323075905212343</c:v>
                </c:pt>
                <c:pt idx="3">
                  <c:v>0.12425179949153912</c:v>
                </c:pt>
                <c:pt idx="4">
                  <c:v>1.0770684331095171E-4</c:v>
                </c:pt>
                <c:pt idx="5">
                  <c:v>0.15063656411097587</c:v>
                </c:pt>
                <c:pt idx="6">
                  <c:v>0.18109866603049488</c:v>
                </c:pt>
                <c:pt idx="7">
                  <c:v>9.9967452254011713E-3</c:v>
                </c:pt>
                <c:pt idx="8">
                  <c:v>0.2791075218227817</c:v>
                </c:pt>
                <c:pt idx="9">
                  <c:v>0.33196314224051932</c:v>
                </c:pt>
                <c:pt idx="10">
                  <c:v>0.22647035001955462</c:v>
                </c:pt>
                <c:pt idx="11">
                  <c:v>0.32197582916626633</c:v>
                </c:pt>
                <c:pt idx="12">
                  <c:v>0.1959605049194145</c:v>
                </c:pt>
                <c:pt idx="13">
                  <c:v>0.8784012476539641</c:v>
                </c:pt>
                <c:pt idx="14">
                  <c:v>0.1585290151921035</c:v>
                </c:pt>
                <c:pt idx="15">
                  <c:v>0</c:v>
                </c:pt>
                <c:pt idx="16">
                  <c:v>-0.1585290151921035</c:v>
                </c:pt>
                <c:pt idx="17">
                  <c:v>-0.8784012476539641</c:v>
                </c:pt>
                <c:pt idx="18">
                  <c:v>-0.1959605049194145</c:v>
                </c:pt>
                <c:pt idx="19">
                  <c:v>-0.32197582916626633</c:v>
                </c:pt>
                <c:pt idx="20">
                  <c:v>-0.22647035001955462</c:v>
                </c:pt>
                <c:pt idx="21">
                  <c:v>-0.33196314224051932</c:v>
                </c:pt>
                <c:pt idx="22">
                  <c:v>-0.2791075218227817</c:v>
                </c:pt>
                <c:pt idx="23">
                  <c:v>-9.9967452254011713E-3</c:v>
                </c:pt>
                <c:pt idx="24">
                  <c:v>-0.18109866603049488</c:v>
                </c:pt>
                <c:pt idx="25">
                  <c:v>-0.15063656411097587</c:v>
                </c:pt>
                <c:pt idx="26">
                  <c:v>-1.0770684331095171E-4</c:v>
                </c:pt>
                <c:pt idx="27">
                  <c:v>-0.12425179949153912</c:v>
                </c:pt>
                <c:pt idx="28">
                  <c:v>-0.12323075905212343</c:v>
                </c:pt>
                <c:pt idx="29">
                  <c:v>-4.3192817450049071E-3</c:v>
                </c:pt>
                <c:pt idx="30">
                  <c:v>-0.12867299186696837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5F-440C-86F7-3E8071EB3F75}"/>
            </c:ext>
          </c:extLst>
        </c:ser>
        <c:ser>
          <c:idx val="1"/>
          <c:order val="1"/>
          <c:tx>
            <c:strRef>
              <c:f>'Task 2 - Scatter chart'!$C$5</c:f>
              <c:strCache>
                <c:ptCount val="1"/>
                <c:pt idx="0">
                  <c:v>F2(x)=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'Task 2 - Scatter chart'!$A$6:$A$36</c:f>
              <c:numCache>
                <c:formatCode>General</c:formatCode>
                <c:ptCount val="31"/>
                <c:pt idx="0">
                  <c:v>-15</c:v>
                </c:pt>
                <c:pt idx="1">
                  <c:v>-14</c:v>
                </c:pt>
                <c:pt idx="2">
                  <c:v>-13</c:v>
                </c:pt>
                <c:pt idx="3">
                  <c:v>-12</c:v>
                </c:pt>
                <c:pt idx="4">
                  <c:v>-11</c:v>
                </c:pt>
                <c:pt idx="5">
                  <c:v>-10</c:v>
                </c:pt>
                <c:pt idx="6">
                  <c:v>-9</c:v>
                </c:pt>
                <c:pt idx="7">
                  <c:v>-8</c:v>
                </c:pt>
                <c:pt idx="8">
                  <c:v>-7</c:v>
                </c:pt>
                <c:pt idx="9">
                  <c:v>-6</c:v>
                </c:pt>
                <c:pt idx="10">
                  <c:v>-5</c:v>
                </c:pt>
                <c:pt idx="11">
                  <c:v>-4</c:v>
                </c:pt>
                <c:pt idx="12">
                  <c:v>-3</c:v>
                </c:pt>
                <c:pt idx="13">
                  <c:v>-2</c:v>
                </c:pt>
                <c:pt idx="14">
                  <c:v>-1</c:v>
                </c:pt>
                <c:pt idx="15">
                  <c:v>0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19">
                  <c:v>4</c:v>
                </c:pt>
                <c:pt idx="20">
                  <c:v>5</c:v>
                </c:pt>
                <c:pt idx="21">
                  <c:v>6</c:v>
                </c:pt>
                <c:pt idx="22">
                  <c:v>7</c:v>
                </c:pt>
                <c:pt idx="23">
                  <c:v>8</c:v>
                </c:pt>
                <c:pt idx="24">
                  <c:v>9</c:v>
                </c:pt>
                <c:pt idx="25">
                  <c:v>10</c:v>
                </c:pt>
                <c:pt idx="26">
                  <c:v>11</c:v>
                </c:pt>
                <c:pt idx="27">
                  <c:v>12</c:v>
                </c:pt>
                <c:pt idx="28">
                  <c:v>13</c:v>
                </c:pt>
                <c:pt idx="29">
                  <c:v>14</c:v>
                </c:pt>
                <c:pt idx="30">
                  <c:v>15</c:v>
                </c:pt>
              </c:numCache>
            </c:numRef>
          </c:xVal>
          <c:yVal>
            <c:numRef>
              <c:f>'Task 2 - Scatter chart'!$C$6:$C$36</c:f>
              <c:numCache>
                <c:formatCode>General</c:formatCode>
                <c:ptCount val="31"/>
                <c:pt idx="0">
                  <c:v>1.024487957848683</c:v>
                </c:pt>
                <c:pt idx="1">
                  <c:v>1.0244618898389655</c:v>
                </c:pt>
                <c:pt idx="2">
                  <c:v>1.0614227835509658</c:v>
                </c:pt>
                <c:pt idx="3">
                  <c:v>1.0725956167526953</c:v>
                </c:pt>
                <c:pt idx="4">
                  <c:v>0.99557603552725871</c:v>
                </c:pt>
                <c:pt idx="5">
                  <c:v>1.0862318872287684</c:v>
                </c:pt>
                <c:pt idx="6">
                  <c:v>1.0862984424468478</c:v>
                </c:pt>
                <c:pt idx="7">
                  <c:v>1.0489821538036939</c:v>
                </c:pt>
                <c:pt idx="8">
                  <c:v>1.0429417919633768</c:v>
                </c:pt>
                <c:pt idx="9">
                  <c:v>0.97867271839543257</c:v>
                </c:pt>
                <c:pt idx="10">
                  <c:v>1.1982405623726948</c:v>
                </c:pt>
                <c:pt idx="11">
                  <c:v>0.76058512991915384</c:v>
                </c:pt>
                <c:pt idx="12">
                  <c:v>0.69628991270510765</c:v>
                </c:pt>
                <c:pt idx="13">
                  <c:v>0.67317818956819409</c:v>
                </c:pt>
                <c:pt idx="14">
                  <c:v>1.5403023058681398</c:v>
                </c:pt>
                <c:pt idx="15">
                  <c:v>0</c:v>
                </c:pt>
                <c:pt idx="16">
                  <c:v>0.45969769413186023</c:v>
                </c:pt>
                <c:pt idx="17">
                  <c:v>1.3268218104318059</c:v>
                </c:pt>
                <c:pt idx="18">
                  <c:v>1.3037100872948924</c:v>
                </c:pt>
                <c:pt idx="19">
                  <c:v>1.2394148700808461</c:v>
                </c:pt>
                <c:pt idx="20">
                  <c:v>0.80175943762730528</c:v>
                </c:pt>
                <c:pt idx="21">
                  <c:v>1.0213272816045673</c:v>
                </c:pt>
                <c:pt idx="22">
                  <c:v>0.95705820803662334</c:v>
                </c:pt>
                <c:pt idx="23">
                  <c:v>0.95101784619630625</c:v>
                </c:pt>
                <c:pt idx="24">
                  <c:v>0.91370155755315219</c:v>
                </c:pt>
                <c:pt idx="25">
                  <c:v>0.9137681127712316</c:v>
                </c:pt>
                <c:pt idx="26">
                  <c:v>1.0044239644727413</c:v>
                </c:pt>
                <c:pt idx="27">
                  <c:v>0.92740438324730468</c:v>
                </c:pt>
                <c:pt idx="28">
                  <c:v>0.93857721644903414</c:v>
                </c:pt>
                <c:pt idx="29">
                  <c:v>0.97553811016103453</c:v>
                </c:pt>
                <c:pt idx="30">
                  <c:v>0.97551204215131704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5F-440C-86F7-3E8071EB3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8138416"/>
        <c:axId val="756041296"/>
      </c:scatterChart>
      <c:valAx>
        <c:axId val="758138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56041296"/>
        <c:crosses val="autoZero"/>
        <c:crossBetween val="midCat"/>
      </c:valAx>
      <c:valAx>
        <c:axId val="75604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58138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[WSI_Lab06_Charts_TasksV2.xlsx]Task 3- Line chart!PivotTable12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dk1">
                <a:tint val="88500"/>
              </a:schemeClr>
            </a:solidFill>
            <a:ln w="9525">
              <a:solidFill>
                <a:schemeClr val="dk1">
                  <a:tint val="885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791426071741033"/>
          <c:y val="0.19672462817147857"/>
          <c:w val="0.70925196850393701"/>
          <c:h val="0.42044983960338289"/>
        </c:manualLayout>
      </c:layout>
      <c:lineChart>
        <c:grouping val="standard"/>
        <c:varyColors val="0"/>
        <c:ser>
          <c:idx val="0"/>
          <c:order val="0"/>
          <c:tx>
            <c:strRef>
              <c:f>'Task 3- Line chart'!$E$26:$E$27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3- Line chart'!$D$28:$D$40</c:f>
              <c:strCache>
                <c:ptCount val="12"/>
                <c:pt idx="0">
                  <c:v>April</c:v>
                </c:pt>
                <c:pt idx="1">
                  <c:v>August</c:v>
                </c:pt>
                <c:pt idx="2">
                  <c:v>December</c:v>
                </c:pt>
                <c:pt idx="3">
                  <c:v>February</c:v>
                </c:pt>
                <c:pt idx="4">
                  <c:v>January</c:v>
                </c:pt>
                <c:pt idx="5">
                  <c:v>July</c:v>
                </c:pt>
                <c:pt idx="6">
                  <c:v>June</c:v>
                </c:pt>
                <c:pt idx="7">
                  <c:v>March</c:v>
                </c:pt>
                <c:pt idx="8">
                  <c:v>May</c:v>
                </c:pt>
                <c:pt idx="9">
                  <c:v>November</c:v>
                </c:pt>
                <c:pt idx="10">
                  <c:v>October</c:v>
                </c:pt>
                <c:pt idx="11">
                  <c:v>September</c:v>
                </c:pt>
              </c:strCache>
            </c:strRef>
          </c:cat>
          <c:val>
            <c:numRef>
              <c:f>'Task 3- Line chart'!$E$28:$E$40</c:f>
              <c:numCache>
                <c:formatCode>General</c:formatCode>
                <c:ptCount val="12"/>
                <c:pt idx="0">
                  <c:v>8100</c:v>
                </c:pt>
                <c:pt idx="1">
                  <c:v>9700</c:v>
                </c:pt>
                <c:pt idx="2">
                  <c:v>17800</c:v>
                </c:pt>
                <c:pt idx="3">
                  <c:v>5820</c:v>
                </c:pt>
                <c:pt idx="4">
                  <c:v>5130</c:v>
                </c:pt>
                <c:pt idx="5">
                  <c:v>8800</c:v>
                </c:pt>
                <c:pt idx="6">
                  <c:v>8450</c:v>
                </c:pt>
                <c:pt idx="7">
                  <c:v>6520</c:v>
                </c:pt>
                <c:pt idx="8">
                  <c:v>7250</c:v>
                </c:pt>
                <c:pt idx="9">
                  <c:v>10650</c:v>
                </c:pt>
                <c:pt idx="10">
                  <c:v>10200</c:v>
                </c:pt>
                <c:pt idx="11">
                  <c:v>8700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46-45CE-B6DB-98E958380F6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62098592"/>
        <c:axId val="689530128"/>
      </c:lineChart>
      <c:catAx>
        <c:axId val="66209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89530128"/>
        <c:crosses val="autoZero"/>
        <c:auto val="1"/>
        <c:lblAlgn val="ctr"/>
        <c:lblOffset val="100"/>
        <c:noMultiLvlLbl val="0"/>
      </c:catAx>
      <c:valAx>
        <c:axId val="689530128"/>
        <c:scaling>
          <c:orientation val="minMax"/>
          <c:min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6209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[WSI_Lab06_Charts_TasksV2.xlsx]Task 4 - Pie chart!PivotTable13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Sum of sales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5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'Task 4 - Pie chart'!$G$20:$G$21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A060-4E39-80A7-9C2D31929876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A060-4E39-80A7-9C2D31929876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A060-4E39-80A7-9C2D31929876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A060-4E39-80A7-9C2D31929876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A060-4E39-80A7-9C2D319298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'Task 4 - Pie chart'!$F$22:$F$27</c:f>
              <c:strCache>
                <c:ptCount val="5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Phone</c:v>
                </c:pt>
                <c:pt idx="4">
                  <c:v>Tablet</c:v>
                </c:pt>
              </c:strCache>
            </c:strRef>
          </c:cat>
          <c:val>
            <c:numRef>
              <c:f>'Task 4 - Pie chart'!$G$22:$G$27</c:f>
              <c:numCache>
                <c:formatCode>0.00%</c:formatCode>
                <c:ptCount val="5"/>
                <c:pt idx="0">
                  <c:v>5.9160305343511452E-2</c:v>
                </c:pt>
                <c:pt idx="1">
                  <c:v>0.3148854961832061</c:v>
                </c:pt>
                <c:pt idx="2">
                  <c:v>0.19561068702290077</c:v>
                </c:pt>
                <c:pt idx="3">
                  <c:v>0.26717557251908397</c:v>
                </c:pt>
                <c:pt idx="4">
                  <c:v>0.16316793893129772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7A-440E-90C0-D9F1B87AEA7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'Task 5-Surface'!$H$4</c:f>
              <c:strCache>
                <c:ptCount val="1"/>
                <c:pt idx="0">
                  <c:v>-12,56637061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'Task 5-Surface'!$I$3:$Q$3</c:f>
              <c:numCache>
                <c:formatCode>General</c:formatCode>
                <c:ptCount val="9"/>
                <c:pt idx="0">
                  <c:v>-12.566370614359172</c:v>
                </c:pt>
                <c:pt idx="1">
                  <c:v>-9.4247779607693793</c:v>
                </c:pt>
                <c:pt idx="2">
                  <c:v>-6.2831853071795862</c:v>
                </c:pt>
                <c:pt idx="3">
                  <c:v>-3.1415926535897931</c:v>
                </c:pt>
                <c:pt idx="4">
                  <c:v>0</c:v>
                </c:pt>
                <c:pt idx="5">
                  <c:v>3.1415926535897931</c:v>
                </c:pt>
                <c:pt idx="6">
                  <c:v>6.2831853071795862</c:v>
                </c:pt>
                <c:pt idx="7">
                  <c:v>9.4247779607693793</c:v>
                </c:pt>
                <c:pt idx="8">
                  <c:v>12.566370614359172</c:v>
                </c:pt>
              </c:numCache>
            </c:numRef>
          </c:cat>
          <c:val>
            <c:numRef>
              <c:f>'Task 5-Surface'!$I$4:$Q$4</c:f>
              <c:numCache>
                <c:formatCode>General</c:formatCode>
                <c:ptCount val="9"/>
                <c:pt idx="0">
                  <c:v>-4.9575063814172086E-2</c:v>
                </c:pt>
                <c:pt idx="1">
                  <c:v>3.8997686524020982E-17</c:v>
                </c:pt>
                <c:pt idx="2">
                  <c:v>7.0903723372448643E-2</c:v>
                </c:pt>
                <c:pt idx="3">
                  <c:v>2.9118729937432527E-2</c:v>
                </c:pt>
                <c:pt idx="4">
                  <c:v>-3.8997686524020982E-17</c:v>
                </c:pt>
                <c:pt idx="5">
                  <c:v>2.9118729937432527E-2</c:v>
                </c:pt>
                <c:pt idx="6">
                  <c:v>7.0903723372448643E-2</c:v>
                </c:pt>
                <c:pt idx="7">
                  <c:v>3.8997686524020982E-17</c:v>
                </c:pt>
                <c:pt idx="8">
                  <c:v>-4.9575063814172086E-2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5C-474E-B0B8-7BC757E05FDF}"/>
            </c:ext>
          </c:extLst>
        </c:ser>
        <c:ser>
          <c:idx val="1"/>
          <c:order val="1"/>
          <c:tx>
            <c:strRef>
              <c:f>'Task 5-Surface'!$H$5</c:f>
              <c:strCache>
                <c:ptCount val="1"/>
                <c:pt idx="0">
                  <c:v>-9,424777961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'Task 5-Surface'!$I$3:$Q$3</c:f>
              <c:numCache>
                <c:formatCode>General</c:formatCode>
                <c:ptCount val="9"/>
                <c:pt idx="0">
                  <c:v>-12.566370614359172</c:v>
                </c:pt>
                <c:pt idx="1">
                  <c:v>-9.4247779607693793</c:v>
                </c:pt>
                <c:pt idx="2">
                  <c:v>-6.2831853071795862</c:v>
                </c:pt>
                <c:pt idx="3">
                  <c:v>-3.1415926535897931</c:v>
                </c:pt>
                <c:pt idx="4">
                  <c:v>0</c:v>
                </c:pt>
                <c:pt idx="5">
                  <c:v>3.1415926535897931</c:v>
                </c:pt>
                <c:pt idx="6">
                  <c:v>6.2831853071795862</c:v>
                </c:pt>
                <c:pt idx="7">
                  <c:v>9.4247779607693793</c:v>
                </c:pt>
                <c:pt idx="8">
                  <c:v>12.566370614359172</c:v>
                </c:pt>
              </c:numCache>
            </c:numRef>
          </c:cat>
          <c:val>
            <c:numRef>
              <c:f>'Task 5-Surface'!$I$5:$Q$5</c:f>
              <c:numCache>
                <c:formatCode>General</c:formatCode>
                <c:ptCount val="9"/>
                <c:pt idx="0">
                  <c:v>3.8997686524020982E-17</c:v>
                </c:pt>
                <c:pt idx="1">
                  <c:v>5.1811026530912921E-2</c:v>
                </c:pt>
                <c:pt idx="2">
                  <c:v>-8.3473865887332785E-2</c:v>
                </c:pt>
                <c:pt idx="3">
                  <c:v>-4.9122486991704989E-2</c:v>
                </c:pt>
                <c:pt idx="4">
                  <c:v>3.8997686524020982E-17</c:v>
                </c:pt>
                <c:pt idx="5">
                  <c:v>-4.9122486991704989E-2</c:v>
                </c:pt>
                <c:pt idx="6">
                  <c:v>-8.3473865887332785E-2</c:v>
                </c:pt>
                <c:pt idx="7">
                  <c:v>5.1811026530912921E-2</c:v>
                </c:pt>
                <c:pt idx="8">
                  <c:v>3.8997686524020982E-17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5C-474E-B0B8-7BC757E05FDF}"/>
            </c:ext>
          </c:extLst>
        </c:ser>
        <c:ser>
          <c:idx val="2"/>
          <c:order val="2"/>
          <c:tx>
            <c:strRef>
              <c:f>'Task 5-Surface'!$H$6</c:f>
              <c:strCache>
                <c:ptCount val="1"/>
                <c:pt idx="0">
                  <c:v>-6,283185307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numRef>
              <c:f>'Task 5-Surface'!$I$3:$Q$3</c:f>
              <c:numCache>
                <c:formatCode>General</c:formatCode>
                <c:ptCount val="9"/>
                <c:pt idx="0">
                  <c:v>-12.566370614359172</c:v>
                </c:pt>
                <c:pt idx="1">
                  <c:v>-9.4247779607693793</c:v>
                </c:pt>
                <c:pt idx="2">
                  <c:v>-6.2831853071795862</c:v>
                </c:pt>
                <c:pt idx="3">
                  <c:v>-3.1415926535897931</c:v>
                </c:pt>
                <c:pt idx="4">
                  <c:v>0</c:v>
                </c:pt>
                <c:pt idx="5">
                  <c:v>3.1415926535897931</c:v>
                </c:pt>
                <c:pt idx="6">
                  <c:v>6.2831853071795862</c:v>
                </c:pt>
                <c:pt idx="7">
                  <c:v>9.4247779607693793</c:v>
                </c:pt>
                <c:pt idx="8">
                  <c:v>12.566370614359172</c:v>
                </c:pt>
              </c:numCache>
            </c:numRef>
          </c:cat>
          <c:val>
            <c:numRef>
              <c:f>'Task 5-Surface'!$I$6:$Q$6</c:f>
              <c:numCache>
                <c:formatCode>General</c:formatCode>
                <c:ptCount val="9"/>
                <c:pt idx="0">
                  <c:v>7.0903723372448643E-2</c:v>
                </c:pt>
                <c:pt idx="1">
                  <c:v>-8.3473865887332785E-2</c:v>
                </c:pt>
                <c:pt idx="2">
                  <c:v>5.7765239856828944E-2</c:v>
                </c:pt>
                <c:pt idx="3">
                  <c:v>9.6157737979439911E-2</c:v>
                </c:pt>
                <c:pt idx="4">
                  <c:v>-3.8997686524020982E-17</c:v>
                </c:pt>
                <c:pt idx="5">
                  <c:v>9.6157737979439911E-2</c:v>
                </c:pt>
                <c:pt idx="6">
                  <c:v>5.7765239856828944E-2</c:v>
                </c:pt>
                <c:pt idx="7">
                  <c:v>-8.3473865887332785E-2</c:v>
                </c:pt>
                <c:pt idx="8">
                  <c:v>7.0903723372448643E-2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5C-474E-B0B8-7BC757E05FDF}"/>
            </c:ext>
          </c:extLst>
        </c:ser>
        <c:ser>
          <c:idx val="3"/>
          <c:order val="3"/>
          <c:tx>
            <c:strRef>
              <c:f>'Task 5-Surface'!$H$7</c:f>
              <c:strCache>
                <c:ptCount val="1"/>
                <c:pt idx="0">
                  <c:v>-3,141592654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numRef>
              <c:f>'Task 5-Surface'!$I$3:$Q$3</c:f>
              <c:numCache>
                <c:formatCode>General</c:formatCode>
                <c:ptCount val="9"/>
                <c:pt idx="0">
                  <c:v>-12.566370614359172</c:v>
                </c:pt>
                <c:pt idx="1">
                  <c:v>-9.4247779607693793</c:v>
                </c:pt>
                <c:pt idx="2">
                  <c:v>-6.2831853071795862</c:v>
                </c:pt>
                <c:pt idx="3">
                  <c:v>-3.1415926535897931</c:v>
                </c:pt>
                <c:pt idx="4">
                  <c:v>0</c:v>
                </c:pt>
                <c:pt idx="5">
                  <c:v>3.1415926535897931</c:v>
                </c:pt>
                <c:pt idx="6">
                  <c:v>6.2831853071795862</c:v>
                </c:pt>
                <c:pt idx="7">
                  <c:v>9.4247779607693793</c:v>
                </c:pt>
                <c:pt idx="8">
                  <c:v>12.566370614359172</c:v>
                </c:pt>
              </c:numCache>
            </c:numRef>
          </c:cat>
          <c:val>
            <c:numRef>
              <c:f>'Task 5-Surface'!$I$7:$Q$7</c:f>
              <c:numCache>
                <c:formatCode>General</c:formatCode>
                <c:ptCount val="9"/>
                <c:pt idx="0">
                  <c:v>2.9118729937432527E-2</c:v>
                </c:pt>
                <c:pt idx="1">
                  <c:v>-4.9122486991704989E-2</c:v>
                </c:pt>
                <c:pt idx="2">
                  <c:v>9.6157737979439911E-2</c:v>
                </c:pt>
                <c:pt idx="3">
                  <c:v>-0.21695429437747635</c:v>
                </c:pt>
                <c:pt idx="4">
                  <c:v>3.8997686524020982E-17</c:v>
                </c:pt>
                <c:pt idx="5">
                  <c:v>-0.21695429437747635</c:v>
                </c:pt>
                <c:pt idx="6">
                  <c:v>9.6157737979439911E-2</c:v>
                </c:pt>
                <c:pt idx="7">
                  <c:v>-4.9122486991704989E-2</c:v>
                </c:pt>
                <c:pt idx="8">
                  <c:v>2.9118729937432527E-2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5C-474E-B0B8-7BC757E05FDF}"/>
            </c:ext>
          </c:extLst>
        </c:ser>
        <c:ser>
          <c:idx val="4"/>
          <c:order val="4"/>
          <c:tx>
            <c:strRef>
              <c:f>'Task 5-Surface'!$H$8</c:f>
              <c:strCache>
                <c:ptCount val="1"/>
                <c:pt idx="0">
                  <c:v>0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numRef>
              <c:f>'Task 5-Surface'!$I$3:$Q$3</c:f>
              <c:numCache>
                <c:formatCode>General</c:formatCode>
                <c:ptCount val="9"/>
                <c:pt idx="0">
                  <c:v>-12.566370614359172</c:v>
                </c:pt>
                <c:pt idx="1">
                  <c:v>-9.4247779607693793</c:v>
                </c:pt>
                <c:pt idx="2">
                  <c:v>-6.2831853071795862</c:v>
                </c:pt>
                <c:pt idx="3">
                  <c:v>-3.1415926535897931</c:v>
                </c:pt>
                <c:pt idx="4">
                  <c:v>0</c:v>
                </c:pt>
                <c:pt idx="5">
                  <c:v>3.1415926535897931</c:v>
                </c:pt>
                <c:pt idx="6">
                  <c:v>6.2831853071795862</c:v>
                </c:pt>
                <c:pt idx="7">
                  <c:v>9.4247779607693793</c:v>
                </c:pt>
                <c:pt idx="8">
                  <c:v>12.566370614359172</c:v>
                </c:pt>
              </c:numCache>
            </c:numRef>
          </c:cat>
          <c:val>
            <c:numRef>
              <c:f>'Task 5-Surface'!$I$8:$Q$8</c:f>
              <c:numCache>
                <c:formatCode>General</c:formatCode>
                <c:ptCount val="9"/>
                <c:pt idx="0">
                  <c:v>-3.8997686524020982E-17</c:v>
                </c:pt>
                <c:pt idx="1">
                  <c:v>3.8997686524020982E-17</c:v>
                </c:pt>
                <c:pt idx="2">
                  <c:v>-3.8997686524020982E-17</c:v>
                </c:pt>
                <c:pt idx="3">
                  <c:v>3.8997686524020982E-17</c:v>
                </c:pt>
                <c:pt idx="4">
                  <c:v>1</c:v>
                </c:pt>
                <c:pt idx="5">
                  <c:v>3.8997686524020982E-17</c:v>
                </c:pt>
                <c:pt idx="6">
                  <c:v>-3.8997686524020982E-17</c:v>
                </c:pt>
                <c:pt idx="7">
                  <c:v>3.8997686524020982E-17</c:v>
                </c:pt>
                <c:pt idx="8">
                  <c:v>-3.8997686524020982E-17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5C-474E-B0B8-7BC757E05FDF}"/>
            </c:ext>
          </c:extLst>
        </c:ser>
        <c:ser>
          <c:idx val="5"/>
          <c:order val="5"/>
          <c:tx>
            <c:strRef>
              <c:f>'Task 5-Surface'!$H$9</c:f>
              <c:strCache>
                <c:ptCount val="1"/>
                <c:pt idx="0">
                  <c:v>3,141592654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numRef>
              <c:f>'Task 5-Surface'!$I$3:$Q$3</c:f>
              <c:numCache>
                <c:formatCode>General</c:formatCode>
                <c:ptCount val="9"/>
                <c:pt idx="0">
                  <c:v>-12.566370614359172</c:v>
                </c:pt>
                <c:pt idx="1">
                  <c:v>-9.4247779607693793</c:v>
                </c:pt>
                <c:pt idx="2">
                  <c:v>-6.2831853071795862</c:v>
                </c:pt>
                <c:pt idx="3">
                  <c:v>-3.1415926535897931</c:v>
                </c:pt>
                <c:pt idx="4">
                  <c:v>0</c:v>
                </c:pt>
                <c:pt idx="5">
                  <c:v>3.1415926535897931</c:v>
                </c:pt>
                <c:pt idx="6">
                  <c:v>6.2831853071795862</c:v>
                </c:pt>
                <c:pt idx="7">
                  <c:v>9.4247779607693793</c:v>
                </c:pt>
                <c:pt idx="8">
                  <c:v>12.566370614359172</c:v>
                </c:pt>
              </c:numCache>
            </c:numRef>
          </c:cat>
          <c:val>
            <c:numRef>
              <c:f>'Task 5-Surface'!$I$9:$Q$9</c:f>
              <c:numCache>
                <c:formatCode>General</c:formatCode>
                <c:ptCount val="9"/>
                <c:pt idx="0">
                  <c:v>2.9118729937432527E-2</c:v>
                </c:pt>
                <c:pt idx="1">
                  <c:v>-4.9122486991704989E-2</c:v>
                </c:pt>
                <c:pt idx="2">
                  <c:v>9.6157737979439911E-2</c:v>
                </c:pt>
                <c:pt idx="3">
                  <c:v>-0.21695429437747635</c:v>
                </c:pt>
                <c:pt idx="4">
                  <c:v>3.8997686524020982E-17</c:v>
                </c:pt>
                <c:pt idx="5">
                  <c:v>-0.21695429437747635</c:v>
                </c:pt>
                <c:pt idx="6">
                  <c:v>9.6157737979439911E-2</c:v>
                </c:pt>
                <c:pt idx="7">
                  <c:v>-4.9122486991704989E-2</c:v>
                </c:pt>
                <c:pt idx="8">
                  <c:v>2.9118729937432527E-2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5C-474E-B0B8-7BC757E05FDF}"/>
            </c:ext>
          </c:extLst>
        </c:ser>
        <c:ser>
          <c:idx val="6"/>
          <c:order val="6"/>
          <c:tx>
            <c:strRef>
              <c:f>'Task 5-Surface'!$H$10</c:f>
              <c:strCache>
                <c:ptCount val="1"/>
                <c:pt idx="0">
                  <c:v>6,283185307</c:v>
                </c:pt>
              </c:strCache>
            </c:strRef>
          </c:tx>
          <c:spPr>
            <a:ln w="222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numRef>
              <c:f>'Task 5-Surface'!$I$3:$Q$3</c:f>
              <c:numCache>
                <c:formatCode>General</c:formatCode>
                <c:ptCount val="9"/>
                <c:pt idx="0">
                  <c:v>-12.566370614359172</c:v>
                </c:pt>
                <c:pt idx="1">
                  <c:v>-9.4247779607693793</c:v>
                </c:pt>
                <c:pt idx="2">
                  <c:v>-6.2831853071795862</c:v>
                </c:pt>
                <c:pt idx="3">
                  <c:v>-3.1415926535897931</c:v>
                </c:pt>
                <c:pt idx="4">
                  <c:v>0</c:v>
                </c:pt>
                <c:pt idx="5">
                  <c:v>3.1415926535897931</c:v>
                </c:pt>
                <c:pt idx="6">
                  <c:v>6.2831853071795862</c:v>
                </c:pt>
                <c:pt idx="7">
                  <c:v>9.4247779607693793</c:v>
                </c:pt>
                <c:pt idx="8">
                  <c:v>12.566370614359172</c:v>
                </c:pt>
              </c:numCache>
            </c:numRef>
          </c:cat>
          <c:val>
            <c:numRef>
              <c:f>'Task 5-Surface'!$I$10:$Q$10</c:f>
              <c:numCache>
                <c:formatCode>General</c:formatCode>
                <c:ptCount val="9"/>
                <c:pt idx="0">
                  <c:v>7.0903723372448643E-2</c:v>
                </c:pt>
                <c:pt idx="1">
                  <c:v>-8.3473865887332785E-2</c:v>
                </c:pt>
                <c:pt idx="2">
                  <c:v>5.7765239856828944E-2</c:v>
                </c:pt>
                <c:pt idx="3">
                  <c:v>9.6157737979439911E-2</c:v>
                </c:pt>
                <c:pt idx="4">
                  <c:v>-3.8997686524020982E-17</c:v>
                </c:pt>
                <c:pt idx="5">
                  <c:v>9.6157737979439911E-2</c:v>
                </c:pt>
                <c:pt idx="6">
                  <c:v>5.7765239856828944E-2</c:v>
                </c:pt>
                <c:pt idx="7">
                  <c:v>-8.3473865887332785E-2</c:v>
                </c:pt>
                <c:pt idx="8">
                  <c:v>7.0903723372448643E-2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5C-474E-B0B8-7BC757E05FDF}"/>
            </c:ext>
          </c:extLst>
        </c:ser>
        <c:ser>
          <c:idx val="7"/>
          <c:order val="7"/>
          <c:tx>
            <c:strRef>
              <c:f>'Task 5-Surface'!$H$11</c:f>
              <c:strCache>
                <c:ptCount val="1"/>
                <c:pt idx="0">
                  <c:v>9,424777961</c:v>
                </c:pt>
              </c:strCache>
            </c:strRef>
          </c:tx>
          <c:spPr>
            <a:ln w="222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numRef>
              <c:f>'Task 5-Surface'!$I$3:$Q$3</c:f>
              <c:numCache>
                <c:formatCode>General</c:formatCode>
                <c:ptCount val="9"/>
                <c:pt idx="0">
                  <c:v>-12.566370614359172</c:v>
                </c:pt>
                <c:pt idx="1">
                  <c:v>-9.4247779607693793</c:v>
                </c:pt>
                <c:pt idx="2">
                  <c:v>-6.2831853071795862</c:v>
                </c:pt>
                <c:pt idx="3">
                  <c:v>-3.1415926535897931</c:v>
                </c:pt>
                <c:pt idx="4">
                  <c:v>0</c:v>
                </c:pt>
                <c:pt idx="5">
                  <c:v>3.1415926535897931</c:v>
                </c:pt>
                <c:pt idx="6">
                  <c:v>6.2831853071795862</c:v>
                </c:pt>
                <c:pt idx="7">
                  <c:v>9.4247779607693793</c:v>
                </c:pt>
                <c:pt idx="8">
                  <c:v>12.566370614359172</c:v>
                </c:pt>
              </c:numCache>
            </c:numRef>
          </c:cat>
          <c:val>
            <c:numRef>
              <c:f>'Task 5-Surface'!$I$11:$Q$11</c:f>
              <c:numCache>
                <c:formatCode>General</c:formatCode>
                <c:ptCount val="9"/>
                <c:pt idx="0">
                  <c:v>3.8997686524020982E-17</c:v>
                </c:pt>
                <c:pt idx="1">
                  <c:v>5.1811026530912921E-2</c:v>
                </c:pt>
                <c:pt idx="2">
                  <c:v>-8.3473865887332785E-2</c:v>
                </c:pt>
                <c:pt idx="3">
                  <c:v>-4.9122486991704989E-2</c:v>
                </c:pt>
                <c:pt idx="4">
                  <c:v>3.8997686524020982E-17</c:v>
                </c:pt>
                <c:pt idx="5">
                  <c:v>-4.9122486991704989E-2</c:v>
                </c:pt>
                <c:pt idx="6">
                  <c:v>-8.3473865887332785E-2</c:v>
                </c:pt>
                <c:pt idx="7">
                  <c:v>5.1811026530912921E-2</c:v>
                </c:pt>
                <c:pt idx="8">
                  <c:v>3.8997686524020982E-17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B5C-474E-B0B8-7BC757E05FDF}"/>
            </c:ext>
          </c:extLst>
        </c:ser>
        <c:ser>
          <c:idx val="8"/>
          <c:order val="8"/>
          <c:tx>
            <c:strRef>
              <c:f>'Task 5-Surface'!$H$12</c:f>
              <c:strCache>
                <c:ptCount val="1"/>
                <c:pt idx="0">
                  <c:v>12,56637061</c:v>
                </c:pt>
              </c:strCache>
            </c:strRef>
          </c:tx>
          <c:spPr>
            <a:ln w="2222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numRef>
              <c:f>'Task 5-Surface'!$I$3:$Q$3</c:f>
              <c:numCache>
                <c:formatCode>General</c:formatCode>
                <c:ptCount val="9"/>
                <c:pt idx="0">
                  <c:v>-12.566370614359172</c:v>
                </c:pt>
                <c:pt idx="1">
                  <c:v>-9.4247779607693793</c:v>
                </c:pt>
                <c:pt idx="2">
                  <c:v>-6.2831853071795862</c:v>
                </c:pt>
                <c:pt idx="3">
                  <c:v>-3.1415926535897931</c:v>
                </c:pt>
                <c:pt idx="4">
                  <c:v>0</c:v>
                </c:pt>
                <c:pt idx="5">
                  <c:v>3.1415926535897931</c:v>
                </c:pt>
                <c:pt idx="6">
                  <c:v>6.2831853071795862</c:v>
                </c:pt>
                <c:pt idx="7">
                  <c:v>9.4247779607693793</c:v>
                </c:pt>
                <c:pt idx="8">
                  <c:v>12.566370614359172</c:v>
                </c:pt>
              </c:numCache>
            </c:numRef>
          </c:cat>
          <c:val>
            <c:numRef>
              <c:f>'Task 5-Surface'!$I$12:$Q$12</c:f>
              <c:numCache>
                <c:formatCode>General</c:formatCode>
                <c:ptCount val="9"/>
                <c:pt idx="0">
                  <c:v>-4.9575063814172086E-2</c:v>
                </c:pt>
                <c:pt idx="1">
                  <c:v>3.8997686524020982E-17</c:v>
                </c:pt>
                <c:pt idx="2">
                  <c:v>7.0903723372448643E-2</c:v>
                </c:pt>
                <c:pt idx="3">
                  <c:v>2.9118729937432527E-2</c:v>
                </c:pt>
                <c:pt idx="4">
                  <c:v>-3.8997686524020982E-17</c:v>
                </c:pt>
                <c:pt idx="5">
                  <c:v>2.9118729937432527E-2</c:v>
                </c:pt>
                <c:pt idx="6">
                  <c:v>7.0903723372448643E-2</c:v>
                </c:pt>
                <c:pt idx="7">
                  <c:v>3.8997686524020982E-17</c:v>
                </c:pt>
                <c:pt idx="8">
                  <c:v>-4.9575063814172086E-2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B5C-474E-B0B8-7BC757E05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052960"/>
        <c:axId val="253054672"/>
      </c:lineChart>
      <c:catAx>
        <c:axId val="25305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53054672"/>
        <c:crosses val="autoZero"/>
        <c:auto val="1"/>
        <c:lblAlgn val="ctr"/>
        <c:lblOffset val="100"/>
        <c:noMultiLvlLbl val="0"/>
      </c:catAx>
      <c:valAx>
        <c:axId val="253054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5305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'Task 5-Surface'!$G$27</c:f>
              <c:strCache>
                <c:ptCount val="1"/>
                <c:pt idx="0">
                  <c:v>-4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'Task 5-Surface'!$H$26:$P$26</c:f>
              <c:numCache>
                <c:formatCode>General</c:formatCode>
                <c:ptCount val="9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</c:numCache>
            </c:numRef>
          </c:cat>
          <c:val>
            <c:numRef>
              <c:f>'Task 5-Surface'!$H$27:$P$27</c:f>
              <c:numCache>
                <c:formatCode>General</c:formatCode>
                <c:ptCount val="9"/>
                <c:pt idx="0">
                  <c:v>0</c:v>
                </c:pt>
                <c:pt idx="1">
                  <c:v>-7</c:v>
                </c:pt>
                <c:pt idx="2">
                  <c:v>-12</c:v>
                </c:pt>
                <c:pt idx="3">
                  <c:v>-15</c:v>
                </c:pt>
                <c:pt idx="4">
                  <c:v>-16</c:v>
                </c:pt>
                <c:pt idx="5">
                  <c:v>-15</c:v>
                </c:pt>
                <c:pt idx="6">
                  <c:v>-12</c:v>
                </c:pt>
                <c:pt idx="7">
                  <c:v>-7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F3-452B-A630-C344A5B46E92}"/>
            </c:ext>
          </c:extLst>
        </c:ser>
        <c:ser>
          <c:idx val="1"/>
          <c:order val="1"/>
          <c:tx>
            <c:strRef>
              <c:f>'Task 5-Surface'!$G$28</c:f>
              <c:strCache>
                <c:ptCount val="1"/>
                <c:pt idx="0">
                  <c:v>-3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'Task 5-Surface'!$H$26:$P$26</c:f>
              <c:numCache>
                <c:formatCode>General</c:formatCode>
                <c:ptCount val="9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</c:numCache>
            </c:numRef>
          </c:cat>
          <c:val>
            <c:numRef>
              <c:f>'Task 5-Surface'!$H$28:$P$28</c:f>
              <c:numCache>
                <c:formatCode>General</c:formatCode>
                <c:ptCount val="9"/>
                <c:pt idx="0">
                  <c:v>7</c:v>
                </c:pt>
                <c:pt idx="1">
                  <c:v>0</c:v>
                </c:pt>
                <c:pt idx="2">
                  <c:v>-5</c:v>
                </c:pt>
                <c:pt idx="3">
                  <c:v>-8</c:v>
                </c:pt>
                <c:pt idx="4">
                  <c:v>-9</c:v>
                </c:pt>
                <c:pt idx="5">
                  <c:v>-8</c:v>
                </c:pt>
                <c:pt idx="6">
                  <c:v>-5</c:v>
                </c:pt>
                <c:pt idx="7">
                  <c:v>0</c:v>
                </c:pt>
                <c:pt idx="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F3-452B-A630-C344A5B46E92}"/>
            </c:ext>
          </c:extLst>
        </c:ser>
        <c:ser>
          <c:idx val="2"/>
          <c:order val="2"/>
          <c:tx>
            <c:strRef>
              <c:f>'Task 5-Surface'!$G$29</c:f>
              <c:strCache>
                <c:ptCount val="1"/>
                <c:pt idx="0">
                  <c:v>-2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'Task 5-Surface'!$H$26:$P$26</c:f>
              <c:numCache>
                <c:formatCode>General</c:formatCode>
                <c:ptCount val="9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</c:numCache>
            </c:numRef>
          </c:cat>
          <c:val>
            <c:numRef>
              <c:f>'Task 5-Surface'!$H$29:$P$29</c:f>
              <c:numCache>
                <c:formatCode>General</c:formatCode>
                <c:ptCount val="9"/>
                <c:pt idx="0">
                  <c:v>12</c:v>
                </c:pt>
                <c:pt idx="1">
                  <c:v>5</c:v>
                </c:pt>
                <c:pt idx="2">
                  <c:v>0</c:v>
                </c:pt>
                <c:pt idx="3">
                  <c:v>-3</c:v>
                </c:pt>
                <c:pt idx="4">
                  <c:v>-4</c:v>
                </c:pt>
                <c:pt idx="5">
                  <c:v>-3</c:v>
                </c:pt>
                <c:pt idx="6">
                  <c:v>0</c:v>
                </c:pt>
                <c:pt idx="7">
                  <c:v>5</c:v>
                </c:pt>
                <c:pt idx="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F3-452B-A630-C344A5B46E92}"/>
            </c:ext>
          </c:extLst>
        </c:ser>
        <c:ser>
          <c:idx val="3"/>
          <c:order val="3"/>
          <c:tx>
            <c:strRef>
              <c:f>'Task 5-Surface'!$G$30</c:f>
              <c:strCache>
                <c:ptCount val="1"/>
                <c:pt idx="0">
                  <c:v>-1</c:v>
                </c:pt>
              </c:strCache>
            </c:strRef>
          </c:tx>
          <c:spPr>
            <a:ln w="3492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'Task 5-Surface'!$H$26:$P$26</c:f>
              <c:numCache>
                <c:formatCode>General</c:formatCode>
                <c:ptCount val="9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</c:numCache>
            </c:numRef>
          </c:cat>
          <c:val>
            <c:numRef>
              <c:f>'Task 5-Surface'!$H$30:$P$30</c:f>
              <c:numCache>
                <c:formatCode>General</c:formatCode>
                <c:ptCount val="9"/>
                <c:pt idx="0">
                  <c:v>15</c:v>
                </c:pt>
                <c:pt idx="1">
                  <c:v>8</c:v>
                </c:pt>
                <c:pt idx="2">
                  <c:v>3</c:v>
                </c:pt>
                <c:pt idx="3">
                  <c:v>0</c:v>
                </c:pt>
                <c:pt idx="4">
                  <c:v>-1</c:v>
                </c:pt>
                <c:pt idx="5">
                  <c:v>0</c:v>
                </c:pt>
                <c:pt idx="6">
                  <c:v>3</c:v>
                </c:pt>
                <c:pt idx="7">
                  <c:v>8</c:v>
                </c:pt>
                <c:pt idx="8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F3-452B-A630-C344A5B46E92}"/>
            </c:ext>
          </c:extLst>
        </c:ser>
        <c:ser>
          <c:idx val="4"/>
          <c:order val="4"/>
          <c:tx>
            <c:strRef>
              <c:f>'Task 5-Surface'!$G$31</c:f>
              <c:strCache>
                <c:ptCount val="1"/>
                <c:pt idx="0">
                  <c:v>0</c:v>
                </c:pt>
              </c:strCache>
            </c:strRef>
          </c:tx>
          <c:spPr>
            <a:ln w="3492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'Task 5-Surface'!$H$26:$P$26</c:f>
              <c:numCache>
                <c:formatCode>General</c:formatCode>
                <c:ptCount val="9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</c:numCache>
            </c:numRef>
          </c:cat>
          <c:val>
            <c:numRef>
              <c:f>'Task 5-Surface'!$H$31:$P$31</c:f>
              <c:numCache>
                <c:formatCode>General</c:formatCode>
                <c:ptCount val="9"/>
                <c:pt idx="0">
                  <c:v>16</c:v>
                </c:pt>
                <c:pt idx="1">
                  <c:v>9</c:v>
                </c:pt>
                <c:pt idx="2">
                  <c:v>4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4</c:v>
                </c:pt>
                <c:pt idx="7">
                  <c:v>9</c:v>
                </c:pt>
                <c:pt idx="8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F3-452B-A630-C344A5B46E92}"/>
            </c:ext>
          </c:extLst>
        </c:ser>
        <c:ser>
          <c:idx val="5"/>
          <c:order val="5"/>
          <c:tx>
            <c:strRef>
              <c:f>'Task 5-Surface'!$G$32</c:f>
              <c:strCache>
                <c:ptCount val="1"/>
                <c:pt idx="0">
                  <c:v>1</c:v>
                </c:pt>
              </c:strCache>
            </c:strRef>
          </c:tx>
          <c:spPr>
            <a:ln w="3492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'Task 5-Surface'!$H$26:$P$26</c:f>
              <c:numCache>
                <c:formatCode>General</c:formatCode>
                <c:ptCount val="9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</c:numCache>
            </c:numRef>
          </c:cat>
          <c:val>
            <c:numRef>
              <c:f>'Task 5-Surface'!$H$32:$P$32</c:f>
              <c:numCache>
                <c:formatCode>General</c:formatCode>
                <c:ptCount val="9"/>
                <c:pt idx="0">
                  <c:v>15</c:v>
                </c:pt>
                <c:pt idx="1">
                  <c:v>8</c:v>
                </c:pt>
                <c:pt idx="2">
                  <c:v>3</c:v>
                </c:pt>
                <c:pt idx="3">
                  <c:v>0</c:v>
                </c:pt>
                <c:pt idx="4">
                  <c:v>-1</c:v>
                </c:pt>
                <c:pt idx="5">
                  <c:v>0</c:v>
                </c:pt>
                <c:pt idx="6">
                  <c:v>3</c:v>
                </c:pt>
                <c:pt idx="7">
                  <c:v>8</c:v>
                </c:pt>
                <c:pt idx="8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8F3-452B-A630-C344A5B46E92}"/>
            </c:ext>
          </c:extLst>
        </c:ser>
        <c:ser>
          <c:idx val="6"/>
          <c:order val="6"/>
          <c:tx>
            <c:strRef>
              <c:f>'Task 5-Surface'!$G$33</c:f>
              <c:strCache>
                <c:ptCount val="1"/>
                <c:pt idx="0">
                  <c:v>2</c:v>
                </c:pt>
              </c:strCache>
            </c:strRef>
          </c:tx>
          <c:spPr>
            <a:ln w="3492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'Task 5-Surface'!$H$26:$P$26</c:f>
              <c:numCache>
                <c:formatCode>General</c:formatCode>
                <c:ptCount val="9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</c:numCache>
            </c:numRef>
          </c:cat>
          <c:val>
            <c:numRef>
              <c:f>'Task 5-Surface'!$H$33:$P$33</c:f>
              <c:numCache>
                <c:formatCode>General</c:formatCode>
                <c:ptCount val="9"/>
                <c:pt idx="0">
                  <c:v>12</c:v>
                </c:pt>
                <c:pt idx="1">
                  <c:v>5</c:v>
                </c:pt>
                <c:pt idx="2">
                  <c:v>0</c:v>
                </c:pt>
                <c:pt idx="3">
                  <c:v>-3</c:v>
                </c:pt>
                <c:pt idx="4">
                  <c:v>-4</c:v>
                </c:pt>
                <c:pt idx="5">
                  <c:v>-3</c:v>
                </c:pt>
                <c:pt idx="6">
                  <c:v>0</c:v>
                </c:pt>
                <c:pt idx="7">
                  <c:v>5</c:v>
                </c:pt>
                <c:pt idx="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8F3-452B-A630-C344A5B46E92}"/>
            </c:ext>
          </c:extLst>
        </c:ser>
        <c:ser>
          <c:idx val="7"/>
          <c:order val="7"/>
          <c:tx>
            <c:strRef>
              <c:f>'Task 5-Surface'!$G$34</c:f>
              <c:strCache>
                <c:ptCount val="1"/>
                <c:pt idx="0">
                  <c:v>3</c:v>
                </c:pt>
              </c:strCache>
            </c:strRef>
          </c:tx>
          <c:spPr>
            <a:ln w="349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'Task 5-Surface'!$H$26:$P$26</c:f>
              <c:numCache>
                <c:formatCode>General</c:formatCode>
                <c:ptCount val="9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</c:numCache>
            </c:numRef>
          </c:cat>
          <c:val>
            <c:numRef>
              <c:f>'Task 5-Surface'!$H$34:$P$34</c:f>
              <c:numCache>
                <c:formatCode>General</c:formatCode>
                <c:ptCount val="9"/>
                <c:pt idx="0">
                  <c:v>7</c:v>
                </c:pt>
                <c:pt idx="1">
                  <c:v>0</c:v>
                </c:pt>
                <c:pt idx="2">
                  <c:v>-5</c:v>
                </c:pt>
                <c:pt idx="3">
                  <c:v>-8</c:v>
                </c:pt>
                <c:pt idx="4">
                  <c:v>-9</c:v>
                </c:pt>
                <c:pt idx="5">
                  <c:v>-8</c:v>
                </c:pt>
                <c:pt idx="6">
                  <c:v>-5</c:v>
                </c:pt>
                <c:pt idx="7">
                  <c:v>0</c:v>
                </c:pt>
                <c:pt idx="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8F3-452B-A630-C344A5B46E92}"/>
            </c:ext>
          </c:extLst>
        </c:ser>
        <c:ser>
          <c:idx val="8"/>
          <c:order val="8"/>
          <c:tx>
            <c:strRef>
              <c:f>'Task 5-Surface'!$G$35</c:f>
              <c:strCache>
                <c:ptCount val="1"/>
                <c:pt idx="0">
                  <c:v>4</c:v>
                </c:pt>
              </c:strCache>
            </c:strRef>
          </c:tx>
          <c:spPr>
            <a:ln w="349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'Task 5-Surface'!$H$26:$P$26</c:f>
              <c:numCache>
                <c:formatCode>General</c:formatCode>
                <c:ptCount val="9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</c:numCache>
            </c:numRef>
          </c:cat>
          <c:val>
            <c:numRef>
              <c:f>'Task 5-Surface'!$H$35:$P$35</c:f>
              <c:numCache>
                <c:formatCode>General</c:formatCode>
                <c:ptCount val="9"/>
                <c:pt idx="0">
                  <c:v>0</c:v>
                </c:pt>
                <c:pt idx="1">
                  <c:v>-7</c:v>
                </c:pt>
                <c:pt idx="2">
                  <c:v>-12</c:v>
                </c:pt>
                <c:pt idx="3">
                  <c:v>-15</c:v>
                </c:pt>
                <c:pt idx="4">
                  <c:v>-16</c:v>
                </c:pt>
                <c:pt idx="5">
                  <c:v>-15</c:v>
                </c:pt>
                <c:pt idx="6">
                  <c:v>-12</c:v>
                </c:pt>
                <c:pt idx="7">
                  <c:v>-7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8F3-452B-A630-C344A5B46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111264"/>
        <c:axId val="390191104"/>
      </c:lineChart>
      <c:catAx>
        <c:axId val="45611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90191104"/>
        <c:crosses val="autoZero"/>
        <c:auto val="1"/>
        <c:lblAlgn val="ctr"/>
        <c:lblOffset val="100"/>
        <c:noMultiLvlLbl val="0"/>
      </c:catAx>
      <c:valAx>
        <c:axId val="3901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5611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3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1219200</xdr:colOff>
      <xdr:row>1</xdr:row>
      <xdr:rowOff>14286</xdr:rowOff>
    </xdr:from>
    <xdr:to>
      <xdr:col>12</xdr:col>
      <xdr:colOff>495300</xdr:colOff>
      <xdr:row>27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9C0566-3775-4C4B-98CB-08D2593892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66675</xdr:colOff>
      <xdr:row>0</xdr:row>
      <xdr:rowOff>58862</xdr:rowOff>
    </xdr:from>
    <xdr:ext cx="2261722" cy="1606491"/>
    <xdr:pic>
      <xdr:nvPicPr>
        <xdr:cNvPr id="2" name="Obraz 6">
          <a:extLst>
            <a:ext uri="{FF2B5EF4-FFF2-40B4-BE49-F238E27FC236}">
              <a16:creationId xmlns:a16="http://schemas.microsoft.com/office/drawing/2014/main" id="{466D97A7-D098-6986-D58F-1D6375875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86575" y="58862"/>
          <a:ext cx="2261722" cy="1606491"/>
        </a:xfrm>
        <a:prstGeom prst="rect">
          <a:avLst/>
        </a:prstGeom>
        <a:noFill/>
        <a:ln cap="flat">
          <a:noFill/>
        </a:ln>
      </xdr:spPr>
    </xdr:pic>
    <xdr:clientData/>
  </xdr:oneCellAnchor>
  <xdr:twoCellAnchor>
    <xdr:from>
      <xdr:col>3</xdr:col>
      <xdr:colOff>119062</xdr:colOff>
      <xdr:row>11</xdr:row>
      <xdr:rowOff>14287</xdr:rowOff>
    </xdr:from>
    <xdr:to>
      <xdr:col>5</xdr:col>
      <xdr:colOff>595312</xdr:colOff>
      <xdr:row>25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942CCE-FA6A-47EB-A61E-5A54FA01C3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955675</xdr:colOff>
      <xdr:row>1</xdr:row>
      <xdr:rowOff>190500</xdr:rowOff>
    </xdr:from>
    <xdr:to>
      <xdr:col>9</xdr:col>
      <xdr:colOff>704850</xdr:colOff>
      <xdr:row>17</xdr:row>
      <xdr:rowOff>3175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AFEFBD53-6C85-AEE7-950C-7F68A33EA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85225" y="390525"/>
          <a:ext cx="3521075" cy="2889250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>
    <xdr:from>
      <xdr:col>6</xdr:col>
      <xdr:colOff>1057275</xdr:colOff>
      <xdr:row>20</xdr:row>
      <xdr:rowOff>33337</xdr:rowOff>
    </xdr:from>
    <xdr:to>
      <xdr:col>10</xdr:col>
      <xdr:colOff>914400</xdr:colOff>
      <xdr:row>34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BB5191-87DD-4EB4-8F3D-276382F0E8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1828800</xdr:colOff>
      <xdr:row>4</xdr:row>
      <xdr:rowOff>19050</xdr:rowOff>
    </xdr:from>
    <xdr:to>
      <xdr:col>10</xdr:col>
      <xdr:colOff>482600</xdr:colOff>
      <xdr:row>12</xdr:row>
      <xdr:rowOff>31750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4E7B888D-564F-02B6-2A39-E3C86FDFB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790575"/>
          <a:ext cx="3292475" cy="153670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7</xdr:col>
      <xdr:colOff>114300</xdr:colOff>
      <xdr:row>13</xdr:row>
      <xdr:rowOff>61912</xdr:rowOff>
    </xdr:from>
    <xdr:to>
      <xdr:col>11</xdr:col>
      <xdr:colOff>933450</xdr:colOff>
      <xdr:row>27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2CF08D-61C2-49F3-97B9-A459284340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352425</xdr:colOff>
      <xdr:row>11</xdr:row>
      <xdr:rowOff>100012</xdr:rowOff>
    </xdr:from>
    <xdr:ext cx="1920875" cy="42068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1FEE939-E25F-4DC0-83A7-860E8F4DA499}"/>
                </a:ext>
              </a:extLst>
            </xdr:cNvPr>
            <xdr:cNvSpPr txBox="1"/>
          </xdr:nvSpPr>
          <xdr:spPr>
            <a:xfrm>
              <a:off x="352425" y="2195512"/>
              <a:ext cx="1920875" cy="4206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6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pl-PL" sz="1600" b="0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pl-PL" sz="16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∈</m:t>
                    </m:r>
                    <m:d>
                      <m:dPr>
                        <m:begChr m:val="["/>
                        <m:endChr m:val="]"/>
                        <m:ctrlPr>
                          <a:rPr lang="pl-PL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l-PL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𝜋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4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𝜋</m:t>
                        </m:r>
                      </m:e>
                    </m:d>
                  </m:oMath>
                </m:oMathPara>
              </a14:m>
              <a:endParaRPr lang="pl-PL" sz="1600" b="0">
                <a:ea typeface="Cambria Math" panose="02040503050406030204" pitchFamily="18" charset="0"/>
              </a:endParaRPr>
            </a:p>
            <a:p>
              <a:endParaRPr lang="pl-PL" sz="16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1FEE939-E25F-4DC0-83A7-860E8F4DA499}"/>
                </a:ext>
              </a:extLst>
            </xdr:cNvPr>
            <xdr:cNvSpPr txBox="1"/>
          </xdr:nvSpPr>
          <xdr:spPr>
            <a:xfrm>
              <a:off x="352425" y="2195512"/>
              <a:ext cx="1920875" cy="4206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pl-PL" sz="1600" b="0" i="0">
                  <a:latin typeface="Cambria Math" panose="02040503050406030204" pitchFamily="18" charset="0"/>
                </a:rPr>
                <a:t>𝑥,𝑦</a:t>
              </a:r>
              <a:r>
                <a:rPr lang="pl-PL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∈[−4𝜋, 4𝜋]</a:t>
              </a:r>
              <a:endParaRPr lang="pl-PL" sz="1600" b="0">
                <a:ea typeface="Cambria Math" panose="02040503050406030204" pitchFamily="18" charset="0"/>
              </a:endParaRPr>
            </a:p>
            <a:p>
              <a:endParaRPr lang="pl-PL" sz="1600"/>
            </a:p>
          </xdr:txBody>
        </xdr:sp>
      </mc:Fallback>
    </mc:AlternateContent>
    <xdr:clientData/>
  </xdr:oneCellAnchor>
  <xdr:oneCellAnchor>
    <xdr:from>
      <xdr:col>0</xdr:col>
      <xdr:colOff>95250</xdr:colOff>
      <xdr:row>5</xdr:row>
      <xdr:rowOff>138112</xdr:rowOff>
    </xdr:from>
    <xdr:ext cx="4248150" cy="95410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75D92DE-F374-4F6A-9615-0841B740DCB4}"/>
                </a:ext>
              </a:extLst>
            </xdr:cNvPr>
            <xdr:cNvSpPr txBox="1"/>
          </xdr:nvSpPr>
          <xdr:spPr>
            <a:xfrm>
              <a:off x="95250" y="1090612"/>
              <a:ext cx="4248150" cy="9541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6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pl-PL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d>
                    <m:r>
                      <a:rPr lang="pl-PL" sz="16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"/>
                        <m:ctrlPr>
                          <a:rPr lang="pl-PL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m>
                          <m:mPr>
                            <m:mcs>
                              <m:mc>
                                <m:mcPr>
                                  <m:count m:val="2"/>
                                  <m:mcJc m:val="center"/>
                                </m:mcPr>
                              </m:mc>
                            </m:mcs>
                            <m:ctrlPr>
                              <a:rPr lang="pl-PL" sz="1600" b="0" i="1">
                                <a:latin typeface="Cambria Math" panose="02040503050406030204" pitchFamily="18" charset="0"/>
                              </a:rPr>
                            </m:ctrlPr>
                          </m:mPr>
                          <m:mr>
                            <m:e>
                              <m:f>
                                <m:fPr>
                                  <m:ctrlPr>
                                    <a:rPr lang="pl-PL" sz="1600" b="0" i="1">
                                      <a:latin typeface="Cambria Math" panose="02040503050406030204" pitchFamily="18" charset="0"/>
                                    </a:rPr>
                                  </m:ctrlPr>
                                </m:fPr>
                                <m:num>
                                  <m:r>
                                    <m:rPr>
                                      <m:sty m:val="p"/>
                                    </m:rPr>
                                    <a:rPr lang="pl-PL" sz="1600" b="0" i="0">
                                      <a:latin typeface="Cambria Math" panose="02040503050406030204" pitchFamily="18" charset="0"/>
                                    </a:rPr>
                                    <m:t>sin</m:t>
                                  </m:r>
                                  <m:r>
                                    <a:rPr lang="pl-PL" sz="1600" b="0" i="1">
                                      <a:latin typeface="Cambria Math" panose="02040503050406030204" pitchFamily="18" charset="0"/>
                                    </a:rPr>
                                    <m:t>⁡(</m:t>
                                  </m:r>
                                  <m:rad>
                                    <m:radPr>
                                      <m:degHide m:val="on"/>
                                      <m:ctrlPr>
                                        <a:rPr lang="pl-PL" sz="1600" b="0" i="1">
                                          <a:latin typeface="Cambria Math" panose="02040503050406030204" pitchFamily="18" charset="0"/>
                                        </a:rPr>
                                      </m:ctrlPr>
                                    </m:radPr>
                                    <m:deg/>
                                    <m:e>
                                      <m:sSup>
                                        <m:sSupPr>
                                          <m:ctrlPr>
                                            <a:rPr lang="pl-PL" sz="1600" b="0" i="1">
                                              <a:latin typeface="Cambria Math" panose="02040503050406030204" pitchFamily="18" charset="0"/>
                                            </a:rPr>
                                          </m:ctrlPr>
                                        </m:sSupPr>
                                        <m:e>
                                          <m:r>
                                            <a:rPr lang="pl-PL" sz="1600" b="0" i="1">
                                              <a:latin typeface="Cambria Math" panose="02040503050406030204" pitchFamily="18" charset="0"/>
                                            </a:rPr>
                                            <m:t>𝑥</m:t>
                                          </m:r>
                                        </m:e>
                                        <m:sup>
                                          <m:r>
                                            <a:rPr lang="pl-PL" sz="1600" b="0" i="1">
                                              <a:latin typeface="Cambria Math" panose="02040503050406030204" pitchFamily="18" charset="0"/>
                                            </a:rPr>
                                            <m:t>2</m:t>
                                          </m:r>
                                        </m:sup>
                                      </m:sSup>
                                      <m:r>
                                        <a:rPr lang="pl-PL" sz="1600" b="0" i="1">
                                          <a:latin typeface="Cambria Math" panose="02040503050406030204" pitchFamily="18" charset="0"/>
                                        </a:rPr>
                                        <m:t>+</m:t>
                                      </m:r>
                                      <m:sSup>
                                        <m:sSupPr>
                                          <m:ctrlPr>
                                            <a:rPr lang="pl-PL" sz="1600" b="0" i="1">
                                              <a:latin typeface="Cambria Math" panose="02040503050406030204" pitchFamily="18" charset="0"/>
                                            </a:rPr>
                                          </m:ctrlPr>
                                        </m:sSupPr>
                                        <m:e>
                                          <m:r>
                                            <a:rPr lang="pl-PL" sz="1600" b="0" i="1">
                                              <a:latin typeface="Cambria Math" panose="02040503050406030204" pitchFamily="18" charset="0"/>
                                            </a:rPr>
                                            <m:t>𝑦</m:t>
                                          </m:r>
                                        </m:e>
                                        <m:sup>
                                          <m:r>
                                            <a:rPr lang="pl-PL" sz="1600" b="0" i="1">
                                              <a:latin typeface="Cambria Math" panose="02040503050406030204" pitchFamily="18" charset="0"/>
                                            </a:rPr>
                                            <m:t>2</m:t>
                                          </m:r>
                                        </m:sup>
                                      </m:sSup>
                                    </m:e>
                                  </m:rad>
                                </m:num>
                                <m:den>
                                  <m:rad>
                                    <m:radPr>
                                      <m:degHide m:val="on"/>
                                      <m:ctrlPr>
                                        <a:rPr lang="pl-PL" sz="1600" b="0" i="1">
                                          <a:latin typeface="Cambria Math" panose="02040503050406030204" pitchFamily="18" charset="0"/>
                                        </a:rPr>
                                      </m:ctrlPr>
                                    </m:radPr>
                                    <m:deg/>
                                    <m:e>
                                      <m:sSup>
                                        <m:sSupPr>
                                          <m:ctrlPr>
                                            <a:rPr lang="pl-PL" sz="1600" b="0" i="1">
                                              <a:latin typeface="Cambria Math" panose="02040503050406030204" pitchFamily="18" charset="0"/>
                                            </a:rPr>
                                          </m:ctrlPr>
                                        </m:sSupPr>
                                        <m:e>
                                          <m:r>
                                            <a:rPr lang="pl-PL" sz="1600" b="0" i="1">
                                              <a:latin typeface="Cambria Math" panose="02040503050406030204" pitchFamily="18" charset="0"/>
                                            </a:rPr>
                                            <m:t>𝑥</m:t>
                                          </m:r>
                                        </m:e>
                                        <m:sup>
                                          <m:r>
                                            <a:rPr lang="pl-PL" sz="1600" b="0" i="1">
                                              <a:latin typeface="Cambria Math" panose="02040503050406030204" pitchFamily="18" charset="0"/>
                                            </a:rPr>
                                            <m:t>2</m:t>
                                          </m:r>
                                        </m:sup>
                                      </m:sSup>
                                      <m:r>
                                        <a:rPr lang="pl-PL" sz="1600" b="0" i="1">
                                          <a:latin typeface="Cambria Math" panose="02040503050406030204" pitchFamily="18" charset="0"/>
                                        </a:rPr>
                                        <m:t>+</m:t>
                                      </m:r>
                                      <m:sSup>
                                        <m:sSupPr>
                                          <m:ctrlPr>
                                            <a:rPr lang="pl-PL" sz="1600" b="0" i="1">
                                              <a:latin typeface="Cambria Math" panose="02040503050406030204" pitchFamily="18" charset="0"/>
                                            </a:rPr>
                                          </m:ctrlPr>
                                        </m:sSupPr>
                                        <m:e>
                                          <m:r>
                                            <a:rPr lang="pl-PL" sz="1600" b="0" i="1">
                                              <a:latin typeface="Cambria Math" panose="02040503050406030204" pitchFamily="18" charset="0"/>
                                            </a:rPr>
                                            <m:t>𝑦</m:t>
                                          </m:r>
                                        </m:e>
                                        <m:sup>
                                          <m:r>
                                            <a:rPr lang="pl-PL" sz="1600" b="0" i="1">
                                              <a:latin typeface="Cambria Math" panose="02040503050406030204" pitchFamily="18" charset="0"/>
                                            </a:rPr>
                                            <m:t>2</m:t>
                                          </m:r>
                                        </m:sup>
                                      </m:sSup>
                                    </m:e>
                                  </m:rad>
                                </m:den>
                              </m:f>
                            </m:e>
                            <m:e>
                              <m:r>
                                <a:rPr lang="pl-PL" sz="1600" b="0" i="1">
                                  <a:latin typeface="Cambria Math" panose="02040503050406030204" pitchFamily="18" charset="0"/>
                                </a:rPr>
                                <m:t>𝑖𝑓</m:t>
                              </m:r>
                              <m:r>
                                <a:rPr lang="pl-PL" sz="1600" b="0" i="1">
                                  <a:latin typeface="Cambria Math" panose="02040503050406030204" pitchFamily="18" charset="0"/>
                                </a:rPr>
                                <m:t> </m:t>
                              </m:r>
                              <m:r>
                                <a:rPr lang="pl-PL" sz="1600" b="0" i="1">
                                  <a:latin typeface="Cambria Math" panose="02040503050406030204" pitchFamily="18" charset="0"/>
                                </a:rPr>
                                <m:t>𝑥</m:t>
                              </m:r>
                              <m:r>
                                <a:rPr lang="pl-PL" sz="16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≠0∨</m:t>
                              </m:r>
                              <m:r>
                                <a:rPr lang="pl-PL" sz="16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𝑦</m:t>
                              </m:r>
                              <m:r>
                                <a:rPr lang="pl-PL" sz="16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≠0</m:t>
                              </m:r>
                            </m:e>
                          </m:mr>
                          <m:mr>
                            <m:e>
                              <m:r>
                                <a:rPr lang="pl-PL" sz="1600" b="0" i="1">
                                  <a:latin typeface="Cambria Math" panose="02040503050406030204" pitchFamily="18" charset="0"/>
                                </a:rPr>
                                <m:t>1</m:t>
                              </m:r>
                            </m:e>
                            <m:e>
                              <m:r>
                                <a:rPr lang="pl-PL" sz="1600" b="0" i="1">
                                  <a:latin typeface="Cambria Math" panose="02040503050406030204" pitchFamily="18" charset="0"/>
                                </a:rPr>
                                <m:t>𝑖𝑓</m:t>
                              </m:r>
                              <m:r>
                                <a:rPr lang="pl-PL" sz="1600" b="0" i="1">
                                  <a:latin typeface="Cambria Math" panose="02040503050406030204" pitchFamily="18" charset="0"/>
                                </a:rPr>
                                <m:t> </m:t>
                              </m:r>
                              <m:r>
                                <a:rPr lang="pl-PL" sz="1600" b="0" i="1">
                                  <a:latin typeface="Cambria Math" panose="02040503050406030204" pitchFamily="18" charset="0"/>
                                </a:rPr>
                                <m:t>𝑥</m:t>
                              </m:r>
                              <m:r>
                                <a:rPr lang="pl-PL" sz="1600" b="0" i="1">
                                  <a:latin typeface="Cambria Math" panose="02040503050406030204" pitchFamily="18" charset="0"/>
                                </a:rPr>
                                <m:t>=0∧</m:t>
                              </m:r>
                              <m:r>
                                <a:rPr lang="pl-PL" sz="16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𝑦</m:t>
                              </m:r>
                              <m:r>
                                <a:rPr lang="pl-PL" sz="16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=0</m:t>
                              </m:r>
                            </m:e>
                          </m:mr>
                        </m:m>
                      </m:e>
                    </m:d>
                  </m:oMath>
                </m:oMathPara>
              </a14:m>
              <a:endParaRPr lang="pl-PL" sz="16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75D92DE-F374-4F6A-9615-0841B740DCB4}"/>
                </a:ext>
              </a:extLst>
            </xdr:cNvPr>
            <xdr:cNvSpPr txBox="1"/>
          </xdr:nvSpPr>
          <xdr:spPr>
            <a:xfrm>
              <a:off x="95250" y="1090612"/>
              <a:ext cx="4248150" cy="9541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pl-PL" sz="1600" b="0" i="0">
                  <a:latin typeface="Cambria Math" panose="02040503050406030204" pitchFamily="18" charset="0"/>
                </a:rPr>
                <a:t>𝑓(𝑥,𝑦)={■8((sin⁡(√(𝑥^2+𝑦^2 ))/√(𝑥^2+𝑦^2 )&amp;𝑖𝑓 𝑥</a:t>
              </a:r>
              <a:r>
                <a:rPr lang="pl-PL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≠0∨𝑦≠0@</a:t>
              </a:r>
              <a:r>
                <a:rPr lang="pl-PL" sz="1600" b="0" i="0">
                  <a:latin typeface="Cambria Math" panose="02040503050406030204" pitchFamily="18" charset="0"/>
                </a:rPr>
                <a:t>1&amp;𝑖𝑓 𝑥=0∧</a:t>
              </a:r>
              <a:r>
                <a:rPr lang="pl-PL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𝑦=0)┤</a:t>
              </a:r>
              <a:endParaRPr lang="pl-PL" sz="1600"/>
            </a:p>
          </xdr:txBody>
        </xdr:sp>
      </mc:Fallback>
    </mc:AlternateContent>
    <xdr:clientData/>
  </xdr:oneCellAnchor>
  <xdr:oneCellAnchor>
    <xdr:from>
      <xdr:col>1</xdr:col>
      <xdr:colOff>228600</xdr:colOff>
      <xdr:row>27</xdr:row>
      <xdr:rowOff>128587</xdr:rowOff>
    </xdr:from>
    <xdr:ext cx="1238250" cy="30956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99B1EC0-0D98-43CE-A270-FF9A80603D22}"/>
                </a:ext>
              </a:extLst>
            </xdr:cNvPr>
            <xdr:cNvSpPr txBox="1"/>
          </xdr:nvSpPr>
          <xdr:spPr>
            <a:xfrm>
              <a:off x="981075" y="5272087"/>
              <a:ext cx="1238250" cy="3095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6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pl-PL" sz="1600" b="0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pl-PL" sz="16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∈</m:t>
                    </m:r>
                    <m:d>
                      <m:dPr>
                        <m:begChr m:val="["/>
                        <m:endChr m:val="]"/>
                        <m:ctrlPr>
                          <a:rPr lang="pl-PL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l-PL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−4,4</m:t>
                        </m:r>
                      </m:e>
                    </m:d>
                  </m:oMath>
                </m:oMathPara>
              </a14:m>
              <a:endParaRPr lang="pl-PL" sz="1600" b="0">
                <a:ea typeface="Cambria Math" panose="02040503050406030204" pitchFamily="18" charset="0"/>
              </a:endParaRPr>
            </a:p>
            <a:p>
              <a:endParaRPr lang="pl-PL" sz="16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99B1EC0-0D98-43CE-A270-FF9A80603D22}"/>
                </a:ext>
              </a:extLst>
            </xdr:cNvPr>
            <xdr:cNvSpPr txBox="1"/>
          </xdr:nvSpPr>
          <xdr:spPr>
            <a:xfrm>
              <a:off x="981075" y="5272087"/>
              <a:ext cx="1238250" cy="3095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pl-PL" sz="1600" b="0" i="0">
                  <a:latin typeface="Cambria Math" panose="02040503050406030204" pitchFamily="18" charset="0"/>
                </a:rPr>
                <a:t>𝑥,𝑦</a:t>
              </a:r>
              <a:r>
                <a:rPr lang="pl-PL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∈[−4,4]</a:t>
              </a:r>
              <a:endParaRPr lang="pl-PL" sz="1600" b="0">
                <a:ea typeface="Cambria Math" panose="02040503050406030204" pitchFamily="18" charset="0"/>
              </a:endParaRPr>
            </a:p>
            <a:p>
              <a:endParaRPr lang="pl-PL" sz="1600"/>
            </a:p>
          </xdr:txBody>
        </xdr:sp>
      </mc:Fallback>
    </mc:AlternateContent>
    <xdr:clientData/>
  </xdr:oneCellAnchor>
  <xdr:oneCellAnchor>
    <xdr:from>
      <xdr:col>1</xdr:col>
      <xdr:colOff>238125</xdr:colOff>
      <xdr:row>24</xdr:row>
      <xdr:rowOff>119062</xdr:rowOff>
    </xdr:from>
    <xdr:ext cx="1791901" cy="28687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03DF2EF-DAF8-4CF8-8983-D75065691CD8}"/>
                </a:ext>
              </a:extLst>
            </xdr:cNvPr>
            <xdr:cNvSpPr txBox="1"/>
          </xdr:nvSpPr>
          <xdr:spPr>
            <a:xfrm>
              <a:off x="990600" y="4691062"/>
              <a:ext cx="1791901" cy="286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8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pl-PL" sz="18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l-PL" sz="18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pl-PL" sz="18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pl-PL" sz="18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d>
                    <m:r>
                      <a:rPr lang="pl-PL" sz="18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pl-PL" sz="18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l-PL" sz="18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pl-PL" sz="18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pl-PL" sz="18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pl-PL" sz="18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l-PL" sz="18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p>
                        <m:r>
                          <a:rPr lang="pl-PL" sz="18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pl-PL" sz="18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03DF2EF-DAF8-4CF8-8983-D75065691CD8}"/>
                </a:ext>
              </a:extLst>
            </xdr:cNvPr>
            <xdr:cNvSpPr txBox="1"/>
          </xdr:nvSpPr>
          <xdr:spPr>
            <a:xfrm>
              <a:off x="990600" y="4691062"/>
              <a:ext cx="1791901" cy="286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l-PL" sz="1800" b="0" i="0">
                  <a:latin typeface="Cambria Math" panose="02040503050406030204" pitchFamily="18" charset="0"/>
                </a:rPr>
                <a:t>𝑓(𝑥,𝑦)=𝑥^2−𝑦^2</a:t>
              </a:r>
              <a:endParaRPr lang="pl-PL" sz="1800"/>
            </a:p>
          </xdr:txBody>
        </xdr:sp>
      </mc:Fallback>
    </mc:AlternateContent>
    <xdr:clientData/>
  </xdr:oneCellAnchor>
  <xdr:twoCellAnchor>
    <xdr:from>
      <xdr:col>17</xdr:col>
      <xdr:colOff>190500</xdr:colOff>
      <xdr:row>0</xdr:row>
      <xdr:rowOff>139700</xdr:rowOff>
    </xdr:from>
    <xdr:to>
      <xdr:col>28</xdr:col>
      <xdr:colOff>558800</xdr:colOff>
      <xdr:row>20</xdr:row>
      <xdr:rowOff>44450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4587C18-699D-43B7-979B-87A7C0BC48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495300</xdr:colOff>
      <xdr:row>22</xdr:row>
      <xdr:rowOff>152400</xdr:rowOff>
    </xdr:from>
    <xdr:to>
      <xdr:col>28</xdr:col>
      <xdr:colOff>342900</xdr:colOff>
      <xdr:row>37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FC7F4FB-6912-46AF-9A9E-A168A5477E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35066\Downloads\BoikoAndrii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sk 1 - Column chart"/>
      <sheetName val="Task 2 - Scatter chart"/>
      <sheetName val="Task 3- Line chart"/>
      <sheetName val="Task 4 - Pie chart"/>
      <sheetName val="Task 5-Surface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I3">
            <v>-12.566370614359172</v>
          </cell>
          <cell r="J3">
            <v>-9.4247779607693793</v>
          </cell>
          <cell r="K3">
            <v>-6.2831853071795862</v>
          </cell>
          <cell r="L3">
            <v>-3.1415926535897931</v>
          </cell>
          <cell r="M3">
            <v>0</v>
          </cell>
          <cell r="N3">
            <v>3.1415926535897931</v>
          </cell>
          <cell r="O3">
            <v>6.2831853071795862</v>
          </cell>
          <cell r="P3">
            <v>9.4247779607693793</v>
          </cell>
          <cell r="Q3">
            <v>12.566370614359172</v>
          </cell>
        </row>
        <row r="4">
          <cell r="H4">
            <v>-12.566370614359172</v>
          </cell>
          <cell r="I4">
            <v>-4.9575063814172086E-2</v>
          </cell>
          <cell r="J4">
            <v>3.8997686524020982E-17</v>
          </cell>
          <cell r="K4">
            <v>7.0903723372448643E-2</v>
          </cell>
          <cell r="L4">
            <v>2.9118729937432527E-2</v>
          </cell>
          <cell r="M4">
            <v>-3.8997686524020982E-17</v>
          </cell>
          <cell r="N4">
            <v>2.9118729937432527E-2</v>
          </cell>
          <cell r="O4">
            <v>7.0903723372448643E-2</v>
          </cell>
          <cell r="P4">
            <v>3.8997686524020982E-17</v>
          </cell>
          <cell r="Q4">
            <v>-4.9575063814172086E-2</v>
          </cell>
        </row>
        <row r="5">
          <cell r="H5">
            <v>-9.4247779607693793</v>
          </cell>
          <cell r="I5">
            <v>3.8997686524020982E-17</v>
          </cell>
          <cell r="J5">
            <v>5.1811026530912921E-2</v>
          </cell>
          <cell r="K5">
            <v>-8.3473865887332785E-2</v>
          </cell>
          <cell r="L5">
            <v>-4.9122486991704989E-2</v>
          </cell>
          <cell r="M5">
            <v>3.8997686524020982E-17</v>
          </cell>
          <cell r="N5">
            <v>-4.9122486991704989E-2</v>
          </cell>
          <cell r="O5">
            <v>-8.3473865887332785E-2</v>
          </cell>
          <cell r="P5">
            <v>5.1811026530912921E-2</v>
          </cell>
          <cell r="Q5">
            <v>3.8997686524020982E-17</v>
          </cell>
        </row>
        <row r="6">
          <cell r="H6">
            <v>-6.2831853071795862</v>
          </cell>
          <cell r="I6">
            <v>7.0903723372448643E-2</v>
          </cell>
          <cell r="J6">
            <v>-8.3473865887332785E-2</v>
          </cell>
          <cell r="K6">
            <v>5.7765239856828944E-2</v>
          </cell>
          <cell r="L6">
            <v>9.6157737979439911E-2</v>
          </cell>
          <cell r="M6">
            <v>-3.8997686524020982E-17</v>
          </cell>
          <cell r="N6">
            <v>9.6157737979439911E-2</v>
          </cell>
          <cell r="O6">
            <v>5.7765239856828944E-2</v>
          </cell>
          <cell r="P6">
            <v>-8.3473865887332785E-2</v>
          </cell>
          <cell r="Q6">
            <v>7.0903723372448643E-2</v>
          </cell>
        </row>
        <row r="7">
          <cell r="H7">
            <v>-3.1415926535897931</v>
          </cell>
          <cell r="I7">
            <v>2.9118729937432527E-2</v>
          </cell>
          <cell r="J7">
            <v>-4.9122486991704989E-2</v>
          </cell>
          <cell r="K7">
            <v>9.6157737979439911E-2</v>
          </cell>
          <cell r="L7">
            <v>-0.21695429437747635</v>
          </cell>
          <cell r="M7">
            <v>3.8997686524020982E-17</v>
          </cell>
          <cell r="N7">
            <v>-0.21695429437747635</v>
          </cell>
          <cell r="O7">
            <v>9.6157737979439911E-2</v>
          </cell>
          <cell r="P7">
            <v>-4.9122486991704989E-2</v>
          </cell>
          <cell r="Q7">
            <v>2.9118729937432527E-2</v>
          </cell>
        </row>
        <row r="8">
          <cell r="H8">
            <v>0</v>
          </cell>
          <cell r="I8">
            <v>-3.8997686524020982E-17</v>
          </cell>
          <cell r="J8">
            <v>3.8997686524020982E-17</v>
          </cell>
          <cell r="K8">
            <v>-3.8997686524020982E-17</v>
          </cell>
          <cell r="L8">
            <v>3.8997686524020982E-17</v>
          </cell>
          <cell r="M8">
            <v>1</v>
          </cell>
          <cell r="N8">
            <v>3.8997686524020982E-17</v>
          </cell>
          <cell r="O8">
            <v>-3.8997686524020982E-17</v>
          </cell>
          <cell r="P8">
            <v>3.8997686524020982E-17</v>
          </cell>
          <cell r="Q8">
            <v>-3.8997686524020982E-17</v>
          </cell>
        </row>
        <row r="9">
          <cell r="H9">
            <v>3.1415926535897931</v>
          </cell>
          <cell r="I9">
            <v>2.9118729937432527E-2</v>
          </cell>
          <cell r="J9">
            <v>-4.9122486991704989E-2</v>
          </cell>
          <cell r="K9">
            <v>9.6157737979439911E-2</v>
          </cell>
          <cell r="L9">
            <v>-0.21695429437747635</v>
          </cell>
          <cell r="M9">
            <v>3.8997686524020982E-17</v>
          </cell>
          <cell r="N9">
            <v>-0.21695429437747635</v>
          </cell>
          <cell r="O9">
            <v>9.6157737979439911E-2</v>
          </cell>
          <cell r="P9">
            <v>-4.9122486991704989E-2</v>
          </cell>
          <cell r="Q9">
            <v>2.9118729937432527E-2</v>
          </cell>
        </row>
        <row r="10">
          <cell r="H10">
            <v>6.2831853071795862</v>
          </cell>
          <cell r="I10">
            <v>7.0903723372448643E-2</v>
          </cell>
          <cell r="J10">
            <v>-8.3473865887332785E-2</v>
          </cell>
          <cell r="K10">
            <v>5.7765239856828944E-2</v>
          </cell>
          <cell r="L10">
            <v>9.6157737979439911E-2</v>
          </cell>
          <cell r="M10">
            <v>-3.8997686524020982E-17</v>
          </cell>
          <cell r="N10">
            <v>9.6157737979439911E-2</v>
          </cell>
          <cell r="O10">
            <v>5.7765239856828944E-2</v>
          </cell>
          <cell r="P10">
            <v>-8.3473865887332785E-2</v>
          </cell>
          <cell r="Q10">
            <v>7.0903723372448643E-2</v>
          </cell>
        </row>
        <row r="11">
          <cell r="H11">
            <v>9.4247779607693793</v>
          </cell>
          <cell r="I11">
            <v>3.8997686524020982E-17</v>
          </cell>
          <cell r="J11">
            <v>5.1811026530912921E-2</v>
          </cell>
          <cell r="K11">
            <v>-8.3473865887332785E-2</v>
          </cell>
          <cell r="L11">
            <v>-4.9122486991704989E-2</v>
          </cell>
          <cell r="M11">
            <v>3.8997686524020982E-17</v>
          </cell>
          <cell r="N11">
            <v>-4.9122486991704989E-2</v>
          </cell>
          <cell r="O11">
            <v>-8.3473865887332785E-2</v>
          </cell>
          <cell r="P11">
            <v>5.1811026530912921E-2</v>
          </cell>
          <cell r="Q11">
            <v>3.8997686524020982E-17</v>
          </cell>
        </row>
        <row r="12">
          <cell r="H12">
            <v>12.566370614359172</v>
          </cell>
          <cell r="I12">
            <v>-4.9575063814172086E-2</v>
          </cell>
          <cell r="J12">
            <v>3.8997686524020982E-17</v>
          </cell>
          <cell r="K12">
            <v>7.0903723372448643E-2</v>
          </cell>
          <cell r="L12">
            <v>2.9118729937432527E-2</v>
          </cell>
          <cell r="M12">
            <v>-3.8997686524020982E-17</v>
          </cell>
          <cell r="N12">
            <v>2.9118729937432527E-2</v>
          </cell>
          <cell r="O12">
            <v>7.0903723372448643E-2</v>
          </cell>
          <cell r="P12">
            <v>3.8997686524020982E-17</v>
          </cell>
          <cell r="Q12">
            <v>-4.9575063814172086E-2</v>
          </cell>
        </row>
        <row r="26">
          <cell r="H26">
            <v>-4</v>
          </cell>
          <cell r="I26">
            <v>-3</v>
          </cell>
          <cell r="J26">
            <v>-2</v>
          </cell>
          <cell r="K26">
            <v>-1</v>
          </cell>
          <cell r="L26">
            <v>0</v>
          </cell>
          <cell r="M26">
            <v>1</v>
          </cell>
          <cell r="N26">
            <v>2</v>
          </cell>
          <cell r="O26">
            <v>3</v>
          </cell>
          <cell r="P26">
            <v>4</v>
          </cell>
        </row>
        <row r="27">
          <cell r="G27">
            <v>-4</v>
          </cell>
          <cell r="H27">
            <v>0</v>
          </cell>
          <cell r="I27">
            <v>-7</v>
          </cell>
          <cell r="J27">
            <v>-12</v>
          </cell>
          <cell r="K27">
            <v>-15</v>
          </cell>
          <cell r="L27">
            <v>-16</v>
          </cell>
          <cell r="M27">
            <v>-15</v>
          </cell>
          <cell r="N27">
            <v>-12</v>
          </cell>
          <cell r="O27">
            <v>-7</v>
          </cell>
          <cell r="P27">
            <v>0</v>
          </cell>
        </row>
        <row r="28">
          <cell r="G28">
            <v>-3</v>
          </cell>
          <cell r="H28">
            <v>7</v>
          </cell>
          <cell r="I28">
            <v>0</v>
          </cell>
          <cell r="J28">
            <v>-5</v>
          </cell>
          <cell r="K28">
            <v>-8</v>
          </cell>
          <cell r="L28">
            <v>-9</v>
          </cell>
          <cell r="M28">
            <v>-8</v>
          </cell>
          <cell r="N28">
            <v>-5</v>
          </cell>
          <cell r="O28">
            <v>0</v>
          </cell>
          <cell r="P28">
            <v>7</v>
          </cell>
        </row>
        <row r="29">
          <cell r="G29">
            <v>-2</v>
          </cell>
          <cell r="H29">
            <v>12</v>
          </cell>
          <cell r="I29">
            <v>5</v>
          </cell>
          <cell r="J29">
            <v>0</v>
          </cell>
          <cell r="K29">
            <v>-3</v>
          </cell>
          <cell r="L29">
            <v>-4</v>
          </cell>
          <cell r="M29">
            <v>-3</v>
          </cell>
          <cell r="N29">
            <v>0</v>
          </cell>
          <cell r="O29">
            <v>5</v>
          </cell>
          <cell r="P29">
            <v>12</v>
          </cell>
        </row>
        <row r="30">
          <cell r="G30">
            <v>-1</v>
          </cell>
          <cell r="H30">
            <v>15</v>
          </cell>
          <cell r="I30">
            <v>8</v>
          </cell>
          <cell r="J30">
            <v>3</v>
          </cell>
          <cell r="K30">
            <v>0</v>
          </cell>
          <cell r="L30">
            <v>-1</v>
          </cell>
          <cell r="M30">
            <v>0</v>
          </cell>
          <cell r="N30">
            <v>3</v>
          </cell>
          <cell r="O30">
            <v>8</v>
          </cell>
          <cell r="P30">
            <v>15</v>
          </cell>
        </row>
        <row r="31">
          <cell r="G31">
            <v>0</v>
          </cell>
          <cell r="H31">
            <v>16</v>
          </cell>
          <cell r="I31">
            <v>9</v>
          </cell>
          <cell r="J31">
            <v>4</v>
          </cell>
          <cell r="K31">
            <v>1</v>
          </cell>
          <cell r="L31">
            <v>0</v>
          </cell>
          <cell r="M31">
            <v>1</v>
          </cell>
          <cell r="N31">
            <v>4</v>
          </cell>
          <cell r="O31">
            <v>9</v>
          </cell>
          <cell r="P31">
            <v>16</v>
          </cell>
        </row>
        <row r="32">
          <cell r="G32">
            <v>1</v>
          </cell>
          <cell r="H32">
            <v>15</v>
          </cell>
          <cell r="I32">
            <v>8</v>
          </cell>
          <cell r="J32">
            <v>3</v>
          </cell>
          <cell r="K32">
            <v>0</v>
          </cell>
          <cell r="L32">
            <v>-1</v>
          </cell>
          <cell r="M32">
            <v>0</v>
          </cell>
          <cell r="N32">
            <v>3</v>
          </cell>
          <cell r="O32">
            <v>8</v>
          </cell>
          <cell r="P32">
            <v>15</v>
          </cell>
        </row>
        <row r="33">
          <cell r="G33">
            <v>2</v>
          </cell>
          <cell r="H33">
            <v>12</v>
          </cell>
          <cell r="I33">
            <v>5</v>
          </cell>
          <cell r="J33">
            <v>0</v>
          </cell>
          <cell r="K33">
            <v>-3</v>
          </cell>
          <cell r="L33">
            <v>-4</v>
          </cell>
          <cell r="M33">
            <v>-3</v>
          </cell>
          <cell r="N33">
            <v>0</v>
          </cell>
          <cell r="O33">
            <v>5</v>
          </cell>
          <cell r="P33">
            <v>12</v>
          </cell>
        </row>
        <row r="34">
          <cell r="G34">
            <v>3</v>
          </cell>
          <cell r="H34">
            <v>7</v>
          </cell>
          <cell r="I34">
            <v>0</v>
          </cell>
          <cell r="J34">
            <v>-5</v>
          </cell>
          <cell r="K34">
            <v>-8</v>
          </cell>
          <cell r="L34">
            <v>-9</v>
          </cell>
          <cell r="M34">
            <v>-8</v>
          </cell>
          <cell r="N34">
            <v>-5</v>
          </cell>
          <cell r="O34">
            <v>0</v>
          </cell>
          <cell r="P34">
            <v>7</v>
          </cell>
        </row>
        <row r="35">
          <cell r="G35">
            <v>4</v>
          </cell>
          <cell r="H35">
            <v>0</v>
          </cell>
          <cell r="I35">
            <v>-7</v>
          </cell>
          <cell r="J35">
            <v>-12</v>
          </cell>
          <cell r="K35">
            <v>-15</v>
          </cell>
          <cell r="L35">
            <v>-16</v>
          </cell>
          <cell r="M35">
            <v>-15</v>
          </cell>
          <cell r="N35">
            <v>-12</v>
          </cell>
          <cell r="O35">
            <v>-7</v>
          </cell>
          <cell r="P35">
            <v>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llia Podvyzhenko" refreshedDate="45964.612520254632" createdVersion="6" refreshedVersion="6" minRefreshableVersion="3" recordCount="50" xr:uid="{5BB7F51E-4682-492E-BAC2-551127C4270A}">
  <cacheSource type="worksheet">
    <worksheetSource name="Tabela1"/>
  </cacheSource>
  <cacheFields count="3">
    <cacheField name="Transaction number" numFmtId="0">
      <sharedItems containsSemiMixedTypes="0" containsString="0" containsNumber="1" containsInteger="1" minValue="1" maxValue="50"/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Sales value (PLN)" numFmtId="0">
      <sharedItems containsSemiMixedTypes="0" containsString="0" containsNumber="1" containsInteger="1" minValue="980" maxValue="3100" count="37">
        <n v="1200"/>
        <n v="1450"/>
        <n v="980"/>
        <n v="1600"/>
        <n v="1250"/>
        <n v="1320"/>
        <n v="1550"/>
        <n v="1800"/>
        <n v="1420"/>
        <n v="2000"/>
        <n v="1950"/>
        <n v="2100"/>
        <n v="1700"/>
        <n v="1850"/>
        <n v="1750"/>
        <n v="1900"/>
        <n v="2250"/>
        <n v="2050"/>
        <n v="2300"/>
        <n v="2150"/>
        <n v="2400"/>
        <n v="2350"/>
        <n v="2450"/>
        <n v="2200"/>
        <n v="2500"/>
        <n v="2600"/>
        <n v="2550"/>
        <n v="2700"/>
        <n v="2800"/>
        <n v="3000"/>
        <n v="2900"/>
        <n v="1500"/>
        <n v="1650"/>
        <n v="2650"/>
        <n v="2950"/>
        <n v="3100"/>
        <n v="305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llia Podvyzhenko" refreshedDate="45964.615660416668" createdVersion="6" refreshedVersion="6" minRefreshableVersion="3" recordCount="25" xr:uid="{3B284BD3-1641-4BAF-A353-2451807DA931}">
  <cacheSource type="worksheet">
    <worksheetSource ref="A5:C30" sheet="Task 4 - Pie chart"/>
  </cacheSource>
  <cacheFields count="3">
    <cacheField name="Transaction number" numFmtId="0">
      <sharedItems containsSemiMixedTypes="0" containsString="0" containsNumber="1" containsInteger="1" minValue="1" maxValue="25"/>
    </cacheField>
    <cacheField name="Product" numFmtId="0">
      <sharedItems count="5">
        <s v="Laptop"/>
        <s v="Phone"/>
        <s v="Tablet"/>
        <s v="Monitor"/>
        <s v="Keyboard"/>
      </sharedItems>
    </cacheField>
    <cacheField name="Sales value (PLN)" numFmtId="0">
      <sharedItems containsSemiMixedTypes="0" containsString="0" containsNumber="1" containsInteger="1" minValue="550" maxValue="3500" count="23">
        <n v="3200"/>
        <n v="2800"/>
        <n v="1500"/>
        <n v="1900"/>
        <n v="600"/>
        <n v="3400"/>
        <n v="2600"/>
        <n v="1800"/>
        <n v="2100"/>
        <n v="700"/>
        <n v="3100"/>
        <n v="2700"/>
        <n v="1600"/>
        <n v="2000"/>
        <n v="550"/>
        <n v="3300"/>
        <n v="2900"/>
        <n v="1750"/>
        <n v="2200"/>
        <n v="650"/>
        <n v="3500"/>
        <n v="3000"/>
        <n v="205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x v="0"/>
    <x v="0"/>
  </r>
  <r>
    <n v="2"/>
    <x v="0"/>
    <x v="1"/>
  </r>
  <r>
    <n v="3"/>
    <x v="0"/>
    <x v="2"/>
  </r>
  <r>
    <n v="4"/>
    <x v="1"/>
    <x v="3"/>
  </r>
  <r>
    <n v="5"/>
    <x v="1"/>
    <x v="4"/>
  </r>
  <r>
    <n v="6"/>
    <x v="1"/>
    <x v="5"/>
  </r>
  <r>
    <n v="7"/>
    <x v="2"/>
    <x v="6"/>
  </r>
  <r>
    <n v="8"/>
    <x v="2"/>
    <x v="7"/>
  </r>
  <r>
    <n v="9"/>
    <x v="2"/>
    <x v="8"/>
  </r>
  <r>
    <n v="10"/>
    <x v="3"/>
    <x v="9"/>
  </r>
  <r>
    <n v="11"/>
    <x v="3"/>
    <x v="10"/>
  </r>
  <r>
    <n v="12"/>
    <x v="3"/>
    <x v="11"/>
  </r>
  <r>
    <n v="13"/>
    <x v="4"/>
    <x v="12"/>
  </r>
  <r>
    <n v="14"/>
    <x v="4"/>
    <x v="13"/>
  </r>
  <r>
    <n v="15"/>
    <x v="4"/>
    <x v="14"/>
  </r>
  <r>
    <n v="16"/>
    <x v="5"/>
    <x v="15"/>
  </r>
  <r>
    <n v="17"/>
    <x v="5"/>
    <x v="11"/>
  </r>
  <r>
    <n v="18"/>
    <x v="5"/>
    <x v="16"/>
  </r>
  <r>
    <n v="19"/>
    <x v="6"/>
    <x v="17"/>
  </r>
  <r>
    <n v="20"/>
    <x v="6"/>
    <x v="18"/>
  </r>
  <r>
    <n v="21"/>
    <x v="6"/>
    <x v="19"/>
  </r>
  <r>
    <n v="22"/>
    <x v="7"/>
    <x v="20"/>
  </r>
  <r>
    <n v="23"/>
    <x v="7"/>
    <x v="21"/>
  </r>
  <r>
    <n v="24"/>
    <x v="7"/>
    <x v="22"/>
  </r>
  <r>
    <n v="25"/>
    <x v="8"/>
    <x v="23"/>
  </r>
  <r>
    <n v="26"/>
    <x v="8"/>
    <x v="19"/>
  </r>
  <r>
    <n v="27"/>
    <x v="8"/>
    <x v="11"/>
  </r>
  <r>
    <n v="28"/>
    <x v="9"/>
    <x v="24"/>
  </r>
  <r>
    <n v="29"/>
    <x v="9"/>
    <x v="25"/>
  </r>
  <r>
    <n v="30"/>
    <x v="9"/>
    <x v="22"/>
  </r>
  <r>
    <n v="31"/>
    <x v="10"/>
    <x v="26"/>
  </r>
  <r>
    <n v="32"/>
    <x v="10"/>
    <x v="27"/>
  </r>
  <r>
    <n v="33"/>
    <x v="10"/>
    <x v="25"/>
  </r>
  <r>
    <n v="34"/>
    <x v="11"/>
    <x v="28"/>
  </r>
  <r>
    <n v="35"/>
    <x v="11"/>
    <x v="29"/>
  </r>
  <r>
    <n v="36"/>
    <x v="11"/>
    <x v="30"/>
  </r>
  <r>
    <n v="37"/>
    <x v="0"/>
    <x v="31"/>
  </r>
  <r>
    <n v="38"/>
    <x v="1"/>
    <x v="32"/>
  </r>
  <r>
    <n v="39"/>
    <x v="2"/>
    <x v="14"/>
  </r>
  <r>
    <n v="40"/>
    <x v="3"/>
    <x v="17"/>
  </r>
  <r>
    <n v="41"/>
    <x v="4"/>
    <x v="10"/>
  </r>
  <r>
    <n v="42"/>
    <x v="5"/>
    <x v="23"/>
  </r>
  <r>
    <n v="43"/>
    <x v="6"/>
    <x v="18"/>
  </r>
  <r>
    <n v="44"/>
    <x v="7"/>
    <x v="24"/>
  </r>
  <r>
    <n v="45"/>
    <x v="8"/>
    <x v="16"/>
  </r>
  <r>
    <n v="46"/>
    <x v="9"/>
    <x v="33"/>
  </r>
  <r>
    <n v="47"/>
    <x v="10"/>
    <x v="28"/>
  </r>
  <r>
    <n v="48"/>
    <x v="11"/>
    <x v="34"/>
  </r>
  <r>
    <n v="49"/>
    <x v="11"/>
    <x v="35"/>
  </r>
  <r>
    <n v="50"/>
    <x v="11"/>
    <x v="3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1"/>
    <x v="0"/>
    <x v="0"/>
  </r>
  <r>
    <n v="2"/>
    <x v="1"/>
    <x v="1"/>
  </r>
  <r>
    <n v="3"/>
    <x v="2"/>
    <x v="2"/>
  </r>
  <r>
    <n v="4"/>
    <x v="3"/>
    <x v="3"/>
  </r>
  <r>
    <n v="5"/>
    <x v="4"/>
    <x v="4"/>
  </r>
  <r>
    <n v="6"/>
    <x v="0"/>
    <x v="5"/>
  </r>
  <r>
    <n v="7"/>
    <x v="1"/>
    <x v="6"/>
  </r>
  <r>
    <n v="8"/>
    <x v="2"/>
    <x v="7"/>
  </r>
  <r>
    <n v="9"/>
    <x v="3"/>
    <x v="8"/>
  </r>
  <r>
    <n v="10"/>
    <x v="4"/>
    <x v="9"/>
  </r>
  <r>
    <n v="11"/>
    <x v="0"/>
    <x v="10"/>
  </r>
  <r>
    <n v="12"/>
    <x v="1"/>
    <x v="11"/>
  </r>
  <r>
    <n v="13"/>
    <x v="2"/>
    <x v="12"/>
  </r>
  <r>
    <n v="14"/>
    <x v="3"/>
    <x v="13"/>
  </r>
  <r>
    <n v="15"/>
    <x v="4"/>
    <x v="14"/>
  </r>
  <r>
    <n v="16"/>
    <x v="0"/>
    <x v="15"/>
  </r>
  <r>
    <n v="17"/>
    <x v="1"/>
    <x v="16"/>
  </r>
  <r>
    <n v="18"/>
    <x v="2"/>
    <x v="17"/>
  </r>
  <r>
    <n v="19"/>
    <x v="3"/>
    <x v="18"/>
  </r>
  <r>
    <n v="20"/>
    <x v="4"/>
    <x v="19"/>
  </r>
  <r>
    <n v="21"/>
    <x v="0"/>
    <x v="20"/>
  </r>
  <r>
    <n v="22"/>
    <x v="1"/>
    <x v="21"/>
  </r>
  <r>
    <n v="23"/>
    <x v="2"/>
    <x v="3"/>
  </r>
  <r>
    <n v="24"/>
    <x v="3"/>
    <x v="22"/>
  </r>
  <r>
    <n v="25"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2AE0CC-5EA4-40F0-8E2D-EA576A01D00E}" name="PivotTable1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 chartFormat="2">
  <location ref="D26:E40" firstHeaderRow="2" firstDataRow="2" firstDataCol="1"/>
  <pivotFields count="3">
    <pivotField compact="0" outline="0" showAll="0"/>
    <pivotField axis="axisRow" compact="0" outline="0" showAll="0">
      <items count="13"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  <pivotField dataField="1" compact="0" outline="0" showAll="0">
      <items count="38">
        <item x="2"/>
        <item x="0"/>
        <item x="4"/>
        <item x="5"/>
        <item x="8"/>
        <item x="1"/>
        <item x="31"/>
        <item x="6"/>
        <item x="3"/>
        <item x="32"/>
        <item x="12"/>
        <item x="14"/>
        <item x="7"/>
        <item x="13"/>
        <item x="15"/>
        <item x="10"/>
        <item x="9"/>
        <item x="17"/>
        <item x="11"/>
        <item x="19"/>
        <item x="23"/>
        <item x="16"/>
        <item x="18"/>
        <item x="21"/>
        <item x="20"/>
        <item x="22"/>
        <item x="24"/>
        <item x="26"/>
        <item x="25"/>
        <item x="33"/>
        <item x="27"/>
        <item x="28"/>
        <item x="30"/>
        <item x="34"/>
        <item x="29"/>
        <item x="36"/>
        <item x="35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 value (PLN)" fld="2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BB0860-BDCA-465B-B3E2-753318658362}" name="PivotTable1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 chartFormat="6">
  <location ref="F20:G27" firstHeaderRow="2" firstDataRow="2" firstDataCol="1"/>
  <pivotFields count="3">
    <pivotField compact="0" outline="0" showAll="0"/>
    <pivotField axis="axisRow" compact="0" outline="0" showAll="0">
      <items count="6">
        <item x="4"/>
        <item x="0"/>
        <item x="3"/>
        <item x="1"/>
        <item x="2"/>
        <item t="default"/>
      </items>
    </pivotField>
    <pivotField dataField="1" compact="0" outline="0" showAll="0">
      <items count="24">
        <item x="14"/>
        <item x="4"/>
        <item x="19"/>
        <item x="9"/>
        <item x="2"/>
        <item x="12"/>
        <item x="17"/>
        <item x="7"/>
        <item x="3"/>
        <item x="13"/>
        <item x="22"/>
        <item x="8"/>
        <item x="18"/>
        <item x="6"/>
        <item x="11"/>
        <item x="1"/>
        <item x="16"/>
        <item x="21"/>
        <item x="10"/>
        <item x="0"/>
        <item x="15"/>
        <item x="5"/>
        <item x="20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 value (PLN)" fld="2" showDataAs="percentOfTotal" baseField="1" baseItem="1" numFmtId="10"/>
  </dataField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A7AC94-6B3A-2C4D-920F-6986E0DA6DC7}" name="Tabela7" displayName="Tabela7" ref="A5:C36" totalsRowShown="0" headerRowDxfId="13" headerRowBorderDxfId="12" tableBorderDxfId="11" totalsRowBorderDxfId="10">
  <tableColumns count="3">
    <tableColumn id="1" xr3:uid="{3BCBD130-56DE-E646-A674-08D7C8C1D4CA}" name="X" dataDxfId="9"/>
    <tableColumn id="2" xr3:uid="{A0E34CE0-E148-3540-86DF-A8EEB65769F8}" name="F1(x)=" dataDxfId="8">
      <calculatedColumnFormula>(SIN(A6^2)-1)/A6</calculatedColumnFormula>
    </tableColumn>
    <tableColumn id="3" xr3:uid="{9803E236-BD3A-C642-B818-E5A8D47A377F}" name="F2(x)=" dataDxfId="7">
      <calculatedColumnFormula>(A6-COS(A6^2))/A6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281F67-8B60-F142-96AA-BE194FB4339B}" name="Tabela1" displayName="Tabela1" ref="A5:C55" totalsRowShown="0" headerRowDxfId="6" headerRowBorderDxfId="5" tableBorderDxfId="4" totalsRowBorderDxfId="3">
  <tableColumns count="3">
    <tableColumn id="1" xr3:uid="{A1D248B3-0FB7-0349-B834-593891E6D9CB}" name="Transaction number" dataDxfId="2"/>
    <tableColumn id="2" xr3:uid="{42D6E62F-538F-1047-9CB4-80149A476341}" name="Month" dataDxfId="1"/>
    <tableColumn id="3" xr3:uid="{E6560505-74F2-4C4F-B1C6-607B33DD1FEA}" name="Sales value (PLN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0BFCB-E36C-7A42-BDAA-7F0D1192AC77}">
  <dimension ref="A1:C31"/>
  <sheetViews>
    <sheetView tabSelected="1" workbookViewId="0">
      <selection activeCell="C29" sqref="C29"/>
    </sheetView>
  </sheetViews>
  <sheetFormatPr defaultColWidth="8.77734375" defaultRowHeight="14.25"/>
  <cols>
    <col min="1" max="1" width="15" style="1" customWidth="1"/>
    <col min="2" max="2" width="15.33203125" style="1" customWidth="1"/>
    <col min="3" max="3" width="15.77734375" style="1" customWidth="1"/>
    <col min="4" max="4" width="14.44140625" style="1" customWidth="1"/>
    <col min="5" max="5" width="8.77734375" style="1" customWidth="1"/>
    <col min="6" max="16384" width="8.77734375" style="1"/>
  </cols>
  <sheetData>
    <row r="1" spans="1:3" ht="15.75">
      <c r="A1" s="26" t="s">
        <v>0</v>
      </c>
      <c r="B1" s="27"/>
      <c r="C1" s="27"/>
    </row>
    <row r="2" spans="1:3" ht="15" customHeight="1">
      <c r="A2" s="28" t="s">
        <v>1</v>
      </c>
      <c r="B2" s="28"/>
      <c r="C2" s="28"/>
    </row>
    <row r="3" spans="1:3" ht="14.25" customHeight="1"/>
    <row r="5" spans="1:3" ht="15.75">
      <c r="A5" s="29" t="s">
        <v>2</v>
      </c>
      <c r="B5" s="29"/>
      <c r="C5" s="29"/>
    </row>
    <row r="6" spans="1:3" ht="15.75">
      <c r="A6" s="2" t="s">
        <v>3</v>
      </c>
      <c r="B6" s="3" t="s">
        <v>4</v>
      </c>
      <c r="C6" s="3" t="s">
        <v>5</v>
      </c>
    </row>
    <row r="7" spans="1:3">
      <c r="A7" s="4" t="s">
        <v>6</v>
      </c>
      <c r="B7" s="5">
        <v>62.4</v>
      </c>
      <c r="C7" s="5">
        <v>59.3</v>
      </c>
    </row>
    <row r="8" spans="1:3">
      <c r="A8" s="4" t="s">
        <v>7</v>
      </c>
      <c r="B8" s="5">
        <v>58.9</v>
      </c>
      <c r="C8" s="5">
        <v>59.3</v>
      </c>
    </row>
    <row r="9" spans="1:3">
      <c r="A9" s="4" t="s">
        <v>8</v>
      </c>
      <c r="B9" s="5">
        <v>65.2</v>
      </c>
      <c r="C9" s="5">
        <v>63.7</v>
      </c>
    </row>
    <row r="10" spans="1:3">
      <c r="A10" s="4" t="s">
        <v>9</v>
      </c>
      <c r="B10" s="5">
        <v>61.7</v>
      </c>
      <c r="C10" s="5">
        <v>66.099999999999994</v>
      </c>
    </row>
    <row r="11" spans="1:3">
      <c r="A11" s="4" t="s">
        <v>10</v>
      </c>
      <c r="B11" s="5">
        <v>70.3</v>
      </c>
      <c r="C11" s="5">
        <v>72.900000000000006</v>
      </c>
    </row>
    <row r="12" spans="1:3">
      <c r="A12" s="4" t="s">
        <v>11</v>
      </c>
      <c r="B12" s="5">
        <v>68.8</v>
      </c>
      <c r="C12" s="5">
        <v>69.5</v>
      </c>
    </row>
    <row r="13" spans="1:3">
      <c r="A13" s="4" t="s">
        <v>12</v>
      </c>
      <c r="B13" s="5">
        <v>75.099999999999994</v>
      </c>
      <c r="C13" s="5">
        <v>78.2</v>
      </c>
    </row>
    <row r="14" spans="1:3">
      <c r="A14" s="4" t="s">
        <v>13</v>
      </c>
      <c r="B14" s="5">
        <v>77.900000000000006</v>
      </c>
      <c r="C14" s="5">
        <v>81.599999999999994</v>
      </c>
    </row>
    <row r="15" spans="1:3">
      <c r="A15" s="4" t="s">
        <v>14</v>
      </c>
      <c r="B15" s="5">
        <v>73.400000000000006</v>
      </c>
      <c r="C15" s="5">
        <v>76.8</v>
      </c>
    </row>
    <row r="16" spans="1:3">
      <c r="A16" s="4" t="s">
        <v>15</v>
      </c>
      <c r="B16" s="5">
        <v>80.5</v>
      </c>
      <c r="C16" s="5">
        <v>84</v>
      </c>
    </row>
    <row r="17" spans="1:3">
      <c r="A17" s="4" t="s">
        <v>16</v>
      </c>
      <c r="B17" s="5">
        <v>82.1</v>
      </c>
      <c r="C17" s="5">
        <v>88.4</v>
      </c>
    </row>
    <row r="18" spans="1:3">
      <c r="A18" s="4" t="s">
        <v>17</v>
      </c>
      <c r="B18" s="5">
        <v>90.7</v>
      </c>
      <c r="C18" s="5">
        <v>94.9</v>
      </c>
    </row>
    <row r="20" spans="1:3">
      <c r="B20" s="6"/>
    </row>
    <row r="21" spans="1:3">
      <c r="B21" s="6"/>
      <c r="C21" s="6"/>
    </row>
    <row r="22" spans="1:3">
      <c r="B22" s="6"/>
      <c r="C22" s="6"/>
    </row>
    <row r="23" spans="1:3">
      <c r="B23" s="6"/>
      <c r="C23" s="6"/>
    </row>
    <row r="24" spans="1:3">
      <c r="B24" s="6"/>
      <c r="C24" s="6"/>
    </row>
    <row r="25" spans="1:3">
      <c r="B25" s="6"/>
      <c r="C25" s="6"/>
    </row>
    <row r="26" spans="1:3">
      <c r="B26" s="6"/>
      <c r="C26" s="6"/>
    </row>
    <row r="27" spans="1:3">
      <c r="B27" s="6"/>
      <c r="C27" s="6"/>
    </row>
    <row r="28" spans="1:3">
      <c r="B28" s="6"/>
      <c r="C28" s="6"/>
    </row>
    <row r="29" spans="1:3">
      <c r="B29" s="6"/>
      <c r="C29" s="6"/>
    </row>
    <row r="30" spans="1:3">
      <c r="B30" s="6"/>
      <c r="C30" s="6"/>
    </row>
    <row r="31" spans="1:3">
      <c r="B31" s="6"/>
      <c r="C31" s="6"/>
    </row>
  </sheetData>
  <mergeCells count="3">
    <mergeCell ref="A1:C1"/>
    <mergeCell ref="A2:C2"/>
    <mergeCell ref="A5:C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B3F4F-AA38-F04C-BE71-E0CA668F0418}">
  <dimension ref="A1:F36"/>
  <sheetViews>
    <sheetView workbookViewId="0">
      <selection activeCell="G33" sqref="G33"/>
    </sheetView>
  </sheetViews>
  <sheetFormatPr defaultColWidth="11" defaultRowHeight="15"/>
  <cols>
    <col min="1" max="1" width="11.77734375" bestFit="1" customWidth="1"/>
    <col min="2" max="2" width="9.77734375" bestFit="1" customWidth="1"/>
    <col min="3" max="3" width="10.21875" bestFit="1" customWidth="1"/>
    <col min="4" max="4" width="19.44140625" bestFit="1" customWidth="1"/>
    <col min="5" max="5" width="28.33203125" customWidth="1"/>
    <col min="6" max="6" width="11.77734375" bestFit="1" customWidth="1"/>
    <col min="7" max="7" width="10.77734375" customWidth="1"/>
    <col min="8" max="8" width="16.6640625" bestFit="1" customWidth="1"/>
    <col min="9" max="9" width="27.77734375" bestFit="1" customWidth="1"/>
    <col min="10" max="10" width="30.44140625" bestFit="1" customWidth="1"/>
    <col min="11" max="11" width="7.21875" bestFit="1" customWidth="1"/>
    <col min="12" max="12" width="8.6640625" bestFit="1" customWidth="1"/>
    <col min="13" max="13" width="5.21875" bestFit="1" customWidth="1"/>
    <col min="14" max="14" width="8.77734375" bestFit="1" customWidth="1"/>
    <col min="15" max="15" width="6.21875" bestFit="1" customWidth="1"/>
    <col min="16" max="16" width="8" bestFit="1" customWidth="1"/>
    <col min="17" max="17" width="8.77734375" bestFit="1" customWidth="1"/>
    <col min="18" max="18" width="10.6640625" bestFit="1" customWidth="1"/>
    <col min="19" max="19" width="8.33203125" bestFit="1" customWidth="1"/>
    <col min="20" max="20" width="8.6640625" bestFit="1" customWidth="1"/>
    <col min="21" max="21" width="13.6640625" bestFit="1" customWidth="1"/>
    <col min="22" max="22" width="10.77734375" customWidth="1"/>
  </cols>
  <sheetData>
    <row r="1" spans="1:6" ht="15.75">
      <c r="A1" s="26" t="s">
        <v>18</v>
      </c>
      <c r="B1" s="26"/>
      <c r="C1" s="26"/>
      <c r="D1" s="26"/>
      <c r="E1" s="26"/>
    </row>
    <row r="2" spans="1:6" ht="16.149999999999999" customHeight="1">
      <c r="A2" s="30" t="s">
        <v>19</v>
      </c>
      <c r="B2" s="31"/>
      <c r="C2" s="31"/>
      <c r="D2" s="31"/>
      <c r="E2" s="31"/>
    </row>
    <row r="3" spans="1:6">
      <c r="A3" s="31"/>
      <c r="B3" s="31"/>
      <c r="C3" s="31"/>
      <c r="D3" s="31"/>
      <c r="E3" s="31"/>
    </row>
    <row r="5" spans="1:6" ht="15.75">
      <c r="A5" s="11" t="s">
        <v>20</v>
      </c>
      <c r="B5" s="12" t="s">
        <v>21</v>
      </c>
      <c r="C5" s="13" t="s">
        <v>22</v>
      </c>
      <c r="D5" s="7"/>
      <c r="E5" s="7"/>
      <c r="F5" s="7"/>
    </row>
    <row r="6" spans="1:6">
      <c r="A6" s="14">
        <v>-15</v>
      </c>
      <c r="B6" s="15">
        <f t="shared" ref="B6:B36" si="0">(SIN(A6^2)-1)/A6</f>
        <v>0.12867299186696837</v>
      </c>
      <c r="C6" s="16">
        <f t="shared" ref="C6:C36" si="1">(A6-COS(A6^2))/A6</f>
        <v>1.024487957848683</v>
      </c>
    </row>
    <row r="7" spans="1:6">
      <c r="A7" s="14">
        <v>-14</v>
      </c>
      <c r="B7" s="15">
        <f t="shared" si="0"/>
        <v>4.3192817450049071E-3</v>
      </c>
      <c r="C7" s="16">
        <f t="shared" si="1"/>
        <v>1.0244618898389655</v>
      </c>
    </row>
    <row r="8" spans="1:6">
      <c r="A8" s="14">
        <v>-13</v>
      </c>
      <c r="B8" s="15">
        <f t="shared" si="0"/>
        <v>0.12323075905212343</v>
      </c>
      <c r="C8" s="16">
        <f t="shared" si="1"/>
        <v>1.0614227835509658</v>
      </c>
    </row>
    <row r="9" spans="1:6">
      <c r="A9" s="14">
        <v>-12</v>
      </c>
      <c r="B9" s="15">
        <f t="shared" si="0"/>
        <v>0.12425179949153912</v>
      </c>
      <c r="C9" s="16">
        <f t="shared" si="1"/>
        <v>1.0725956167526953</v>
      </c>
    </row>
    <row r="10" spans="1:6">
      <c r="A10" s="14">
        <v>-11</v>
      </c>
      <c r="B10" s="15">
        <f t="shared" si="0"/>
        <v>1.0770684331095171E-4</v>
      </c>
      <c r="C10" s="16">
        <f t="shared" si="1"/>
        <v>0.99557603552725871</v>
      </c>
    </row>
    <row r="11" spans="1:6">
      <c r="A11" s="14">
        <v>-10</v>
      </c>
      <c r="B11" s="15">
        <f t="shared" si="0"/>
        <v>0.15063656411097587</v>
      </c>
      <c r="C11" s="16">
        <f t="shared" si="1"/>
        <v>1.0862318872287684</v>
      </c>
    </row>
    <row r="12" spans="1:6">
      <c r="A12" s="14">
        <v>-9</v>
      </c>
      <c r="B12" s="15">
        <f t="shared" si="0"/>
        <v>0.18109866603049488</v>
      </c>
      <c r="C12" s="16">
        <f t="shared" si="1"/>
        <v>1.0862984424468478</v>
      </c>
    </row>
    <row r="13" spans="1:6">
      <c r="A13" s="14">
        <v>-8</v>
      </c>
      <c r="B13" s="15">
        <f t="shared" si="0"/>
        <v>9.9967452254011713E-3</v>
      </c>
      <c r="C13" s="16">
        <f t="shared" si="1"/>
        <v>1.0489821538036939</v>
      </c>
    </row>
    <row r="14" spans="1:6">
      <c r="A14" s="14">
        <v>-7</v>
      </c>
      <c r="B14" s="15">
        <f t="shared" si="0"/>
        <v>0.2791075218227817</v>
      </c>
      <c r="C14" s="16">
        <f t="shared" si="1"/>
        <v>1.0429417919633768</v>
      </c>
    </row>
    <row r="15" spans="1:6">
      <c r="A15" s="14">
        <v>-6</v>
      </c>
      <c r="B15" s="15">
        <f t="shared" si="0"/>
        <v>0.33196314224051932</v>
      </c>
      <c r="C15" s="16">
        <f t="shared" si="1"/>
        <v>0.97867271839543257</v>
      </c>
    </row>
    <row r="16" spans="1:6">
      <c r="A16" s="14">
        <v>-5</v>
      </c>
      <c r="B16" s="15">
        <f t="shared" si="0"/>
        <v>0.22647035001955462</v>
      </c>
      <c r="C16" s="16">
        <f t="shared" si="1"/>
        <v>1.1982405623726948</v>
      </c>
    </row>
    <row r="17" spans="1:3">
      <c r="A17" s="14">
        <v>-4</v>
      </c>
      <c r="B17" s="15">
        <f t="shared" si="0"/>
        <v>0.32197582916626633</v>
      </c>
      <c r="C17" s="16">
        <f t="shared" si="1"/>
        <v>0.76058512991915384</v>
      </c>
    </row>
    <row r="18" spans="1:3">
      <c r="A18" s="14">
        <v>-3</v>
      </c>
      <c r="B18" s="15">
        <f t="shared" si="0"/>
        <v>0.1959605049194145</v>
      </c>
      <c r="C18" s="16">
        <f t="shared" si="1"/>
        <v>0.69628991270510765</v>
      </c>
    </row>
    <row r="19" spans="1:3">
      <c r="A19" s="14">
        <v>-2</v>
      </c>
      <c r="B19" s="15">
        <f t="shared" si="0"/>
        <v>0.8784012476539641</v>
      </c>
      <c r="C19" s="16">
        <f t="shared" si="1"/>
        <v>0.67317818956819409</v>
      </c>
    </row>
    <row r="20" spans="1:3">
      <c r="A20" s="14">
        <v>-1</v>
      </c>
      <c r="B20" s="15">
        <f t="shared" si="0"/>
        <v>0.1585290151921035</v>
      </c>
      <c r="C20" s="16">
        <f t="shared" si="1"/>
        <v>1.5403023058681398</v>
      </c>
    </row>
    <row r="21" spans="1:3">
      <c r="A21" s="14">
        <v>0</v>
      </c>
      <c r="B21" s="15" t="e">
        <f t="shared" si="0"/>
        <v>#DIV/0!</v>
      </c>
      <c r="C21" s="16" t="e">
        <f t="shared" si="1"/>
        <v>#DIV/0!</v>
      </c>
    </row>
    <row r="22" spans="1:3">
      <c r="A22" s="14">
        <v>1</v>
      </c>
      <c r="B22" s="15">
        <f t="shared" si="0"/>
        <v>-0.1585290151921035</v>
      </c>
      <c r="C22" s="16">
        <f t="shared" si="1"/>
        <v>0.45969769413186023</v>
      </c>
    </row>
    <row r="23" spans="1:3">
      <c r="A23" s="14">
        <v>2</v>
      </c>
      <c r="B23" s="15">
        <f t="shared" si="0"/>
        <v>-0.8784012476539641</v>
      </c>
      <c r="C23" s="16">
        <f t="shared" si="1"/>
        <v>1.3268218104318059</v>
      </c>
    </row>
    <row r="24" spans="1:3">
      <c r="A24" s="14">
        <v>3</v>
      </c>
      <c r="B24" s="15">
        <f t="shared" si="0"/>
        <v>-0.1959605049194145</v>
      </c>
      <c r="C24" s="16">
        <f t="shared" si="1"/>
        <v>1.3037100872948924</v>
      </c>
    </row>
    <row r="25" spans="1:3">
      <c r="A25" s="14">
        <v>4</v>
      </c>
      <c r="B25" s="15">
        <f t="shared" si="0"/>
        <v>-0.32197582916626633</v>
      </c>
      <c r="C25" s="16">
        <f t="shared" si="1"/>
        <v>1.2394148700808461</v>
      </c>
    </row>
    <row r="26" spans="1:3">
      <c r="A26" s="14">
        <v>5</v>
      </c>
      <c r="B26" s="15">
        <f t="shared" si="0"/>
        <v>-0.22647035001955462</v>
      </c>
      <c r="C26" s="16">
        <f t="shared" si="1"/>
        <v>0.80175943762730528</v>
      </c>
    </row>
    <row r="27" spans="1:3">
      <c r="A27" s="14">
        <v>6</v>
      </c>
      <c r="B27" s="15">
        <f t="shared" si="0"/>
        <v>-0.33196314224051932</v>
      </c>
      <c r="C27" s="16">
        <f t="shared" si="1"/>
        <v>1.0213272816045673</v>
      </c>
    </row>
    <row r="28" spans="1:3">
      <c r="A28" s="14">
        <v>7</v>
      </c>
      <c r="B28" s="15">
        <f t="shared" si="0"/>
        <v>-0.2791075218227817</v>
      </c>
      <c r="C28" s="16">
        <f t="shared" si="1"/>
        <v>0.95705820803662334</v>
      </c>
    </row>
    <row r="29" spans="1:3">
      <c r="A29" s="14">
        <v>8</v>
      </c>
      <c r="B29" s="15">
        <f t="shared" si="0"/>
        <v>-9.9967452254011713E-3</v>
      </c>
      <c r="C29" s="16">
        <f t="shared" si="1"/>
        <v>0.95101784619630625</v>
      </c>
    </row>
    <row r="30" spans="1:3">
      <c r="A30" s="14">
        <v>9</v>
      </c>
      <c r="B30" s="15">
        <f t="shared" si="0"/>
        <v>-0.18109866603049488</v>
      </c>
      <c r="C30" s="16">
        <f t="shared" si="1"/>
        <v>0.91370155755315219</v>
      </c>
    </row>
    <row r="31" spans="1:3">
      <c r="A31" s="14">
        <v>10</v>
      </c>
      <c r="B31" s="15">
        <f t="shared" si="0"/>
        <v>-0.15063656411097587</v>
      </c>
      <c r="C31" s="16">
        <f t="shared" si="1"/>
        <v>0.9137681127712316</v>
      </c>
    </row>
    <row r="32" spans="1:3">
      <c r="A32" s="14">
        <v>11</v>
      </c>
      <c r="B32" s="15">
        <f t="shared" si="0"/>
        <v>-1.0770684331095171E-4</v>
      </c>
      <c r="C32" s="16">
        <f t="shared" si="1"/>
        <v>1.0044239644727413</v>
      </c>
    </row>
    <row r="33" spans="1:3">
      <c r="A33" s="14">
        <v>12</v>
      </c>
      <c r="B33" s="15">
        <f t="shared" si="0"/>
        <v>-0.12425179949153912</v>
      </c>
      <c r="C33" s="16">
        <f t="shared" si="1"/>
        <v>0.92740438324730468</v>
      </c>
    </row>
    <row r="34" spans="1:3">
      <c r="A34" s="14">
        <v>13</v>
      </c>
      <c r="B34" s="15">
        <f t="shared" si="0"/>
        <v>-0.12323075905212343</v>
      </c>
      <c r="C34" s="16">
        <f t="shared" si="1"/>
        <v>0.93857721644903414</v>
      </c>
    </row>
    <row r="35" spans="1:3">
      <c r="A35" s="14">
        <v>14</v>
      </c>
      <c r="B35" s="15">
        <f t="shared" si="0"/>
        <v>-4.3192817450049071E-3</v>
      </c>
      <c r="C35" s="16">
        <f t="shared" si="1"/>
        <v>0.97553811016103453</v>
      </c>
    </row>
    <row r="36" spans="1:3">
      <c r="A36" s="10">
        <v>15</v>
      </c>
      <c r="B36" s="17">
        <f t="shared" si="0"/>
        <v>-0.12867299186696837</v>
      </c>
      <c r="C36" s="18">
        <f t="shared" si="1"/>
        <v>0.97551204215131704</v>
      </c>
    </row>
  </sheetData>
  <mergeCells count="2">
    <mergeCell ref="A1:E1"/>
    <mergeCell ref="A2:E3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F3AE9-75C9-2A4D-A036-3F5CAFC6B555}">
  <dimension ref="A1:G55"/>
  <sheetViews>
    <sheetView workbookViewId="0">
      <selection activeCell="F22" sqref="F22"/>
    </sheetView>
  </sheetViews>
  <sheetFormatPr defaultColWidth="11" defaultRowHeight="15"/>
  <cols>
    <col min="1" max="1" width="17.6640625" bestFit="1" customWidth="1"/>
    <col min="2" max="2" width="10.21875" bestFit="1" customWidth="1"/>
    <col min="3" max="3" width="21.44140625" customWidth="1"/>
    <col min="4" max="5" width="12.6640625" customWidth="1"/>
    <col min="6" max="6" width="16.6640625" bestFit="1" customWidth="1"/>
    <col min="7" max="7" width="22" bestFit="1" customWidth="1"/>
  </cols>
  <sheetData>
    <row r="1" spans="1:7" ht="15.75">
      <c r="A1" s="26" t="s">
        <v>23</v>
      </c>
      <c r="B1" s="26"/>
      <c r="C1" s="26"/>
      <c r="D1" s="26"/>
      <c r="E1" s="26"/>
      <c r="F1" s="26"/>
    </row>
    <row r="2" spans="1:7" ht="16.149999999999999" customHeight="1">
      <c r="A2" s="30" t="s">
        <v>24</v>
      </c>
      <c r="B2" s="31"/>
      <c r="C2" s="31"/>
      <c r="D2" s="31"/>
      <c r="E2" s="31"/>
      <c r="F2" s="31"/>
    </row>
    <row r="3" spans="1:7">
      <c r="A3" s="31"/>
      <c r="B3" s="31"/>
      <c r="C3" s="31"/>
      <c r="D3" s="31"/>
      <c r="E3" s="31"/>
      <c r="F3" s="31"/>
    </row>
    <row r="4" spans="1:7">
      <c r="E4" s="32"/>
      <c r="F4" s="32"/>
    </row>
    <row r="5" spans="1:7" ht="17.100000000000001" customHeight="1">
      <c r="A5" s="11" t="s">
        <v>25</v>
      </c>
      <c r="B5" s="12" t="s">
        <v>3</v>
      </c>
      <c r="C5" s="13" t="s">
        <v>26</v>
      </c>
      <c r="D5" s="8"/>
      <c r="F5" s="33"/>
      <c r="G5" s="34"/>
    </row>
    <row r="6" spans="1:7">
      <c r="A6" s="14">
        <v>1</v>
      </c>
      <c r="B6" s="20" t="s">
        <v>27</v>
      </c>
      <c r="C6" s="21">
        <v>1200</v>
      </c>
      <c r="D6" s="8"/>
    </row>
    <row r="7" spans="1:7">
      <c r="A7" s="14">
        <v>2</v>
      </c>
      <c r="B7" s="20" t="s">
        <v>27</v>
      </c>
      <c r="C7" s="21">
        <v>1450</v>
      </c>
      <c r="D7" s="8"/>
    </row>
    <row r="8" spans="1:7">
      <c r="A8" s="14">
        <v>3</v>
      </c>
      <c r="B8" s="20" t="s">
        <v>27</v>
      </c>
      <c r="C8" s="21">
        <v>980</v>
      </c>
      <c r="D8" s="8"/>
    </row>
    <row r="9" spans="1:7">
      <c r="A9" s="14">
        <v>4</v>
      </c>
      <c r="B9" s="20" t="s">
        <v>28</v>
      </c>
      <c r="C9" s="21">
        <v>1600</v>
      </c>
      <c r="D9" s="8"/>
    </row>
    <row r="10" spans="1:7">
      <c r="A10" s="14">
        <v>5</v>
      </c>
      <c r="B10" s="20" t="s">
        <v>28</v>
      </c>
      <c r="C10" s="21">
        <v>1250</v>
      </c>
      <c r="D10" s="8"/>
    </row>
    <row r="11" spans="1:7">
      <c r="A11" s="14">
        <v>6</v>
      </c>
      <c r="B11" s="20" t="s">
        <v>28</v>
      </c>
      <c r="C11" s="21">
        <v>1320</v>
      </c>
      <c r="D11" s="8"/>
    </row>
    <row r="12" spans="1:7">
      <c r="A12" s="14">
        <v>7</v>
      </c>
      <c r="B12" s="20" t="s">
        <v>29</v>
      </c>
      <c r="C12" s="21">
        <v>1550</v>
      </c>
    </row>
    <row r="13" spans="1:7">
      <c r="A13" s="14">
        <v>8</v>
      </c>
      <c r="B13" s="20" t="s">
        <v>29</v>
      </c>
      <c r="C13" s="21">
        <v>1800</v>
      </c>
    </row>
    <row r="14" spans="1:7">
      <c r="A14" s="14">
        <v>9</v>
      </c>
      <c r="B14" s="20" t="s">
        <v>29</v>
      </c>
      <c r="C14" s="21">
        <v>1420</v>
      </c>
    </row>
    <row r="15" spans="1:7">
      <c r="A15" s="14">
        <v>10</v>
      </c>
      <c r="B15" s="20" t="s">
        <v>30</v>
      </c>
      <c r="C15" s="21">
        <v>2000</v>
      </c>
    </row>
    <row r="16" spans="1:7">
      <c r="A16" s="14">
        <v>11</v>
      </c>
      <c r="B16" s="20" t="s">
        <v>30</v>
      </c>
      <c r="C16" s="21">
        <v>1950</v>
      </c>
    </row>
    <row r="17" spans="1:5">
      <c r="A17" s="14">
        <v>12</v>
      </c>
      <c r="B17" s="20" t="s">
        <v>30</v>
      </c>
      <c r="C17" s="21">
        <v>2100</v>
      </c>
    </row>
    <row r="18" spans="1:5">
      <c r="A18" s="14">
        <v>13</v>
      </c>
      <c r="B18" s="20" t="s">
        <v>31</v>
      </c>
      <c r="C18" s="21">
        <v>1700</v>
      </c>
    </row>
    <row r="19" spans="1:5">
      <c r="A19" s="14">
        <v>14</v>
      </c>
      <c r="B19" s="20" t="s">
        <v>31</v>
      </c>
      <c r="C19" s="21">
        <v>1850</v>
      </c>
    </row>
    <row r="20" spans="1:5">
      <c r="A20" s="14">
        <v>15</v>
      </c>
      <c r="B20" s="20" t="s">
        <v>31</v>
      </c>
      <c r="C20" s="21">
        <v>1750</v>
      </c>
    </row>
    <row r="21" spans="1:5">
      <c r="A21" s="14">
        <v>16</v>
      </c>
      <c r="B21" s="20" t="s">
        <v>32</v>
      </c>
      <c r="C21" s="21">
        <v>1900</v>
      </c>
    </row>
    <row r="22" spans="1:5">
      <c r="A22" s="14">
        <v>17</v>
      </c>
      <c r="B22" s="20" t="s">
        <v>32</v>
      </c>
      <c r="C22" s="21">
        <v>2100</v>
      </c>
    </row>
    <row r="23" spans="1:5">
      <c r="A23" s="14">
        <v>18</v>
      </c>
      <c r="B23" s="20" t="s">
        <v>32</v>
      </c>
      <c r="C23" s="21">
        <v>2250</v>
      </c>
    </row>
    <row r="24" spans="1:5">
      <c r="A24" s="14">
        <v>19</v>
      </c>
      <c r="B24" s="20" t="s">
        <v>33</v>
      </c>
      <c r="C24" s="21">
        <v>2050</v>
      </c>
    </row>
    <row r="25" spans="1:5">
      <c r="A25" s="14">
        <v>20</v>
      </c>
      <c r="B25" s="20" t="s">
        <v>33</v>
      </c>
      <c r="C25" s="21">
        <v>2300</v>
      </c>
    </row>
    <row r="26" spans="1:5">
      <c r="A26" s="14">
        <v>21</v>
      </c>
      <c r="B26" s="20" t="s">
        <v>33</v>
      </c>
      <c r="C26" s="21">
        <v>2150</v>
      </c>
      <c r="D26" s="24" t="s">
        <v>34</v>
      </c>
    </row>
    <row r="27" spans="1:5">
      <c r="A27" s="14">
        <v>22</v>
      </c>
      <c r="B27" s="20" t="s">
        <v>35</v>
      </c>
      <c r="C27" s="21">
        <v>2400</v>
      </c>
      <c r="D27" s="24" t="s">
        <v>3</v>
      </c>
      <c r="E27" t="s">
        <v>36</v>
      </c>
    </row>
    <row r="28" spans="1:5">
      <c r="A28" s="14">
        <v>23</v>
      </c>
      <c r="B28" s="20" t="s">
        <v>35</v>
      </c>
      <c r="C28" s="21">
        <v>2350</v>
      </c>
      <c r="D28" t="s">
        <v>30</v>
      </c>
      <c r="E28">
        <v>8100</v>
      </c>
    </row>
    <row r="29" spans="1:5">
      <c r="A29" s="14">
        <v>24</v>
      </c>
      <c r="B29" s="20" t="s">
        <v>35</v>
      </c>
      <c r="C29" s="21">
        <v>2450</v>
      </c>
      <c r="D29" t="s">
        <v>35</v>
      </c>
      <c r="E29">
        <v>9700</v>
      </c>
    </row>
    <row r="30" spans="1:5">
      <c r="A30" s="14">
        <v>25</v>
      </c>
      <c r="B30" s="20" t="s">
        <v>37</v>
      </c>
      <c r="C30" s="21">
        <v>2200</v>
      </c>
      <c r="D30" t="s">
        <v>38</v>
      </c>
      <c r="E30">
        <v>17800</v>
      </c>
    </row>
    <row r="31" spans="1:5">
      <c r="A31" s="14">
        <v>26</v>
      </c>
      <c r="B31" s="20" t="s">
        <v>37</v>
      </c>
      <c r="C31" s="21">
        <v>2150</v>
      </c>
      <c r="D31" t="s">
        <v>28</v>
      </c>
      <c r="E31">
        <v>5820</v>
      </c>
    </row>
    <row r="32" spans="1:5">
      <c r="A32" s="14">
        <v>27</v>
      </c>
      <c r="B32" s="20" t="s">
        <v>37</v>
      </c>
      <c r="C32" s="21">
        <v>2100</v>
      </c>
      <c r="D32" t="s">
        <v>27</v>
      </c>
      <c r="E32">
        <v>5130</v>
      </c>
    </row>
    <row r="33" spans="1:5">
      <c r="A33" s="14">
        <v>28</v>
      </c>
      <c r="B33" s="20" t="s">
        <v>39</v>
      </c>
      <c r="C33" s="21">
        <v>2500</v>
      </c>
      <c r="D33" t="s">
        <v>33</v>
      </c>
      <c r="E33">
        <v>8800</v>
      </c>
    </row>
    <row r="34" spans="1:5">
      <c r="A34" s="14">
        <v>29</v>
      </c>
      <c r="B34" s="20" t="s">
        <v>39</v>
      </c>
      <c r="C34" s="21">
        <v>2600</v>
      </c>
      <c r="D34" t="s">
        <v>32</v>
      </c>
      <c r="E34">
        <v>8450</v>
      </c>
    </row>
    <row r="35" spans="1:5">
      <c r="A35" s="14">
        <v>30</v>
      </c>
      <c r="B35" s="20" t="s">
        <v>39</v>
      </c>
      <c r="C35" s="21">
        <v>2450</v>
      </c>
      <c r="D35" t="s">
        <v>29</v>
      </c>
      <c r="E35">
        <v>6520</v>
      </c>
    </row>
    <row r="36" spans="1:5">
      <c r="A36" s="14">
        <v>31</v>
      </c>
      <c r="B36" s="20" t="s">
        <v>40</v>
      </c>
      <c r="C36" s="21">
        <v>2550</v>
      </c>
      <c r="D36" t="s">
        <v>31</v>
      </c>
      <c r="E36">
        <v>7250</v>
      </c>
    </row>
    <row r="37" spans="1:5">
      <c r="A37" s="14">
        <v>32</v>
      </c>
      <c r="B37" s="20" t="s">
        <v>40</v>
      </c>
      <c r="C37" s="21">
        <v>2700</v>
      </c>
      <c r="D37" t="s">
        <v>40</v>
      </c>
      <c r="E37">
        <v>10650</v>
      </c>
    </row>
    <row r="38" spans="1:5">
      <c r="A38" s="14">
        <v>33</v>
      </c>
      <c r="B38" s="20" t="s">
        <v>40</v>
      </c>
      <c r="C38" s="21">
        <v>2600</v>
      </c>
      <c r="D38" t="s">
        <v>39</v>
      </c>
      <c r="E38">
        <v>10200</v>
      </c>
    </row>
    <row r="39" spans="1:5">
      <c r="A39" s="14">
        <v>34</v>
      </c>
      <c r="B39" s="20" t="s">
        <v>38</v>
      </c>
      <c r="C39" s="21">
        <v>2800</v>
      </c>
      <c r="D39" t="s">
        <v>37</v>
      </c>
      <c r="E39">
        <v>8700</v>
      </c>
    </row>
    <row r="40" spans="1:5">
      <c r="A40" s="14">
        <v>35</v>
      </c>
      <c r="B40" s="20" t="s">
        <v>38</v>
      </c>
      <c r="C40" s="21">
        <v>3000</v>
      </c>
      <c r="D40" t="s">
        <v>41</v>
      </c>
      <c r="E40">
        <v>107120</v>
      </c>
    </row>
    <row r="41" spans="1:5">
      <c r="A41" s="14">
        <v>36</v>
      </c>
      <c r="B41" s="20" t="s">
        <v>38</v>
      </c>
      <c r="C41" s="21">
        <v>2900</v>
      </c>
    </row>
    <row r="42" spans="1:5">
      <c r="A42" s="14">
        <v>37</v>
      </c>
      <c r="B42" s="20" t="s">
        <v>27</v>
      </c>
      <c r="C42" s="21">
        <v>1500</v>
      </c>
    </row>
    <row r="43" spans="1:5">
      <c r="A43" s="14">
        <v>38</v>
      </c>
      <c r="B43" s="20" t="s">
        <v>28</v>
      </c>
      <c r="C43" s="21">
        <v>1650</v>
      </c>
    </row>
    <row r="44" spans="1:5">
      <c r="A44" s="14">
        <v>39</v>
      </c>
      <c r="B44" s="20" t="s">
        <v>29</v>
      </c>
      <c r="C44" s="21">
        <v>1750</v>
      </c>
    </row>
    <row r="45" spans="1:5">
      <c r="A45" s="14">
        <v>40</v>
      </c>
      <c r="B45" s="20" t="s">
        <v>30</v>
      </c>
      <c r="C45" s="21">
        <v>2050</v>
      </c>
    </row>
    <row r="46" spans="1:5">
      <c r="A46" s="14">
        <v>41</v>
      </c>
      <c r="B46" s="20" t="s">
        <v>31</v>
      </c>
      <c r="C46" s="21">
        <v>1950</v>
      </c>
    </row>
    <row r="47" spans="1:5">
      <c r="A47" s="14">
        <v>42</v>
      </c>
      <c r="B47" s="20" t="s">
        <v>32</v>
      </c>
      <c r="C47" s="21">
        <v>2200</v>
      </c>
    </row>
    <row r="48" spans="1:5">
      <c r="A48" s="14">
        <v>43</v>
      </c>
      <c r="B48" s="20" t="s">
        <v>33</v>
      </c>
      <c r="C48" s="21">
        <v>2300</v>
      </c>
    </row>
    <row r="49" spans="1:3">
      <c r="A49" s="14">
        <v>44</v>
      </c>
      <c r="B49" s="20" t="s">
        <v>35</v>
      </c>
      <c r="C49" s="21">
        <v>2500</v>
      </c>
    </row>
    <row r="50" spans="1:3">
      <c r="A50" s="14">
        <v>45</v>
      </c>
      <c r="B50" s="20" t="s">
        <v>37</v>
      </c>
      <c r="C50" s="21">
        <v>2250</v>
      </c>
    </row>
    <row r="51" spans="1:3">
      <c r="A51" s="14">
        <v>46</v>
      </c>
      <c r="B51" s="20" t="s">
        <v>39</v>
      </c>
      <c r="C51" s="21">
        <v>2650</v>
      </c>
    </row>
    <row r="52" spans="1:3">
      <c r="A52" s="14">
        <v>47</v>
      </c>
      <c r="B52" s="20" t="s">
        <v>40</v>
      </c>
      <c r="C52" s="21">
        <v>2800</v>
      </c>
    </row>
    <row r="53" spans="1:3">
      <c r="A53" s="14">
        <v>48</v>
      </c>
      <c r="B53" s="20" t="s">
        <v>38</v>
      </c>
      <c r="C53" s="21">
        <v>2950</v>
      </c>
    </row>
    <row r="54" spans="1:3">
      <c r="A54" s="14">
        <v>49</v>
      </c>
      <c r="B54" s="20" t="s">
        <v>38</v>
      </c>
      <c r="C54" s="21">
        <v>3100</v>
      </c>
    </row>
    <row r="55" spans="1:3">
      <c r="A55" s="10">
        <v>50</v>
      </c>
      <c r="B55" s="22" t="s">
        <v>38</v>
      </c>
      <c r="C55" s="19">
        <v>3050</v>
      </c>
    </row>
  </sheetData>
  <mergeCells count="4">
    <mergeCell ref="A1:F1"/>
    <mergeCell ref="A2:F3"/>
    <mergeCell ref="E4:F4"/>
    <mergeCell ref="F5:G5"/>
  </mergeCells>
  <pageMargins left="0.7" right="0.7" top="0.75" bottom="0.75" header="0.3" footer="0.3"/>
  <pageSetup paperSize="0" fitToWidth="0" fitToHeight="0" orientation="portrait" horizontalDpi="0" verticalDpi="0" copies="0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8FF99-9365-A44F-9B9A-6AAB431BA983}">
  <dimension ref="A1:G30"/>
  <sheetViews>
    <sheetView workbookViewId="0">
      <selection activeCell="J32" sqref="J32"/>
    </sheetView>
  </sheetViews>
  <sheetFormatPr defaultColWidth="11" defaultRowHeight="15"/>
  <cols>
    <col min="1" max="1" width="17.6640625" bestFit="1" customWidth="1"/>
    <col min="2" max="2" width="8.6640625" bestFit="1" customWidth="1"/>
    <col min="3" max="3" width="15.44140625" bestFit="1" customWidth="1"/>
    <col min="4" max="5" width="10.77734375" customWidth="1"/>
    <col min="6" max="6" width="22.6640625" bestFit="1" customWidth="1"/>
    <col min="7" max="7" width="12.44140625" customWidth="1"/>
    <col min="8" max="8" width="10.77734375" customWidth="1"/>
  </cols>
  <sheetData>
    <row r="1" spans="1:7" ht="15.75">
      <c r="A1" s="26" t="s">
        <v>42</v>
      </c>
      <c r="B1" s="26"/>
      <c r="C1" s="26"/>
      <c r="D1" s="26"/>
      <c r="E1" s="26"/>
    </row>
    <row r="2" spans="1:7" ht="16.149999999999999" customHeight="1">
      <c r="A2" s="30" t="s">
        <v>43</v>
      </c>
      <c r="B2" s="30"/>
      <c r="C2" s="30"/>
      <c r="D2" s="30"/>
      <c r="E2" s="30"/>
      <c r="G2" s="9"/>
    </row>
    <row r="3" spans="1:7">
      <c r="A3" s="30"/>
      <c r="B3" s="30"/>
      <c r="C3" s="30"/>
      <c r="D3" s="30"/>
      <c r="E3" s="30"/>
      <c r="G3" s="9"/>
    </row>
    <row r="5" spans="1:7">
      <c r="A5" s="23" t="s">
        <v>25</v>
      </c>
      <c r="B5" s="23" t="s">
        <v>44</v>
      </c>
      <c r="C5" s="23" t="s">
        <v>26</v>
      </c>
    </row>
    <row r="6" spans="1:7">
      <c r="A6" s="20">
        <v>1</v>
      </c>
      <c r="B6" s="20" t="s">
        <v>45</v>
      </c>
      <c r="C6" s="20">
        <v>3200</v>
      </c>
    </row>
    <row r="7" spans="1:7">
      <c r="A7" s="20">
        <v>2</v>
      </c>
      <c r="B7" s="20" t="s">
        <v>46</v>
      </c>
      <c r="C7" s="20">
        <v>2800</v>
      </c>
    </row>
    <row r="8" spans="1:7">
      <c r="A8" s="20">
        <v>3</v>
      </c>
      <c r="B8" s="20" t="s">
        <v>47</v>
      </c>
      <c r="C8" s="20">
        <v>1500</v>
      </c>
    </row>
    <row r="9" spans="1:7">
      <c r="A9" s="20">
        <v>4</v>
      </c>
      <c r="B9" s="20" t="s">
        <v>48</v>
      </c>
      <c r="C9" s="20">
        <v>1900</v>
      </c>
    </row>
    <row r="10" spans="1:7">
      <c r="A10" s="20">
        <v>5</v>
      </c>
      <c r="B10" s="20" t="s">
        <v>49</v>
      </c>
      <c r="C10" s="20">
        <v>600</v>
      </c>
    </row>
    <row r="11" spans="1:7">
      <c r="A11" s="20">
        <v>6</v>
      </c>
      <c r="B11" s="20" t="s">
        <v>45</v>
      </c>
      <c r="C11" s="20">
        <v>3400</v>
      </c>
    </row>
    <row r="12" spans="1:7">
      <c r="A12" s="20">
        <v>7</v>
      </c>
      <c r="B12" s="20" t="s">
        <v>46</v>
      </c>
      <c r="C12" s="20">
        <v>2600</v>
      </c>
    </row>
    <row r="13" spans="1:7">
      <c r="A13" s="20">
        <v>8</v>
      </c>
      <c r="B13" s="20" t="s">
        <v>47</v>
      </c>
      <c r="C13" s="20">
        <v>1800</v>
      </c>
    </row>
    <row r="14" spans="1:7">
      <c r="A14" s="20">
        <v>9</v>
      </c>
      <c r="B14" s="20" t="s">
        <v>48</v>
      </c>
      <c r="C14" s="20">
        <v>2100</v>
      </c>
    </row>
    <row r="15" spans="1:7">
      <c r="A15" s="20">
        <v>10</v>
      </c>
      <c r="B15" s="20" t="s">
        <v>49</v>
      </c>
      <c r="C15" s="20">
        <v>700</v>
      </c>
      <c r="F15" s="33"/>
      <c r="G15" s="33"/>
    </row>
    <row r="16" spans="1:7">
      <c r="A16" s="20">
        <v>11</v>
      </c>
      <c r="B16" s="20" t="s">
        <v>45</v>
      </c>
      <c r="C16" s="20">
        <v>3100</v>
      </c>
    </row>
    <row r="17" spans="1:7">
      <c r="A17" s="20">
        <v>12</v>
      </c>
      <c r="B17" s="20" t="s">
        <v>46</v>
      </c>
      <c r="C17" s="20">
        <v>2700</v>
      </c>
    </row>
    <row r="18" spans="1:7">
      <c r="A18" s="20">
        <v>13</v>
      </c>
      <c r="B18" s="20" t="s">
        <v>47</v>
      </c>
      <c r="C18" s="20">
        <v>1600</v>
      </c>
    </row>
    <row r="19" spans="1:7">
      <c r="A19" s="20">
        <v>14</v>
      </c>
      <c r="B19" s="20" t="s">
        <v>48</v>
      </c>
      <c r="C19" s="20">
        <v>2000</v>
      </c>
    </row>
    <row r="20" spans="1:7">
      <c r="A20" s="20">
        <v>15</v>
      </c>
      <c r="B20" s="20" t="s">
        <v>49</v>
      </c>
      <c r="C20" s="20">
        <v>550</v>
      </c>
      <c r="F20" s="24" t="s">
        <v>34</v>
      </c>
    </row>
    <row r="21" spans="1:7">
      <c r="A21" s="20">
        <v>16</v>
      </c>
      <c r="B21" s="20" t="s">
        <v>45</v>
      </c>
      <c r="C21" s="20">
        <v>3300</v>
      </c>
      <c r="F21" s="24" t="s">
        <v>44</v>
      </c>
      <c r="G21" t="s">
        <v>36</v>
      </c>
    </row>
    <row r="22" spans="1:7">
      <c r="A22" s="20">
        <v>17</v>
      </c>
      <c r="B22" s="20" t="s">
        <v>46</v>
      </c>
      <c r="C22" s="20">
        <v>2900</v>
      </c>
      <c r="F22" t="s">
        <v>49</v>
      </c>
      <c r="G22" s="25">
        <v>5.9160305343511452E-2</v>
      </c>
    </row>
    <row r="23" spans="1:7">
      <c r="A23" s="20">
        <v>18</v>
      </c>
      <c r="B23" s="20" t="s">
        <v>47</v>
      </c>
      <c r="C23" s="20">
        <v>1750</v>
      </c>
      <c r="F23" t="s">
        <v>45</v>
      </c>
      <c r="G23" s="25">
        <v>0.3148854961832061</v>
      </c>
    </row>
    <row r="24" spans="1:7">
      <c r="A24" s="20">
        <v>19</v>
      </c>
      <c r="B24" s="20" t="s">
        <v>48</v>
      </c>
      <c r="C24" s="20">
        <v>2200</v>
      </c>
      <c r="F24" t="s">
        <v>48</v>
      </c>
      <c r="G24" s="25">
        <v>0.19561068702290077</v>
      </c>
    </row>
    <row r="25" spans="1:7">
      <c r="A25" s="20">
        <v>20</v>
      </c>
      <c r="B25" s="20" t="s">
        <v>49</v>
      </c>
      <c r="C25" s="20">
        <v>650</v>
      </c>
      <c r="F25" t="s">
        <v>46</v>
      </c>
      <c r="G25" s="25">
        <v>0.26717557251908397</v>
      </c>
    </row>
    <row r="26" spans="1:7">
      <c r="A26" s="20">
        <v>21</v>
      </c>
      <c r="B26" s="20" t="s">
        <v>45</v>
      </c>
      <c r="C26" s="20">
        <v>3500</v>
      </c>
      <c r="F26" t="s">
        <v>47</v>
      </c>
      <c r="G26" s="25">
        <v>0.16316793893129772</v>
      </c>
    </row>
    <row r="27" spans="1:7">
      <c r="A27" s="20">
        <v>22</v>
      </c>
      <c r="B27" s="20" t="s">
        <v>46</v>
      </c>
      <c r="C27" s="20">
        <v>3000</v>
      </c>
      <c r="F27" t="s">
        <v>41</v>
      </c>
      <c r="G27" s="25">
        <v>1</v>
      </c>
    </row>
    <row r="28" spans="1:7">
      <c r="A28" s="20">
        <v>23</v>
      </c>
      <c r="B28" s="20" t="s">
        <v>47</v>
      </c>
      <c r="C28" s="20">
        <v>1900</v>
      </c>
    </row>
    <row r="29" spans="1:7">
      <c r="A29" s="20">
        <v>24</v>
      </c>
      <c r="B29" s="20" t="s">
        <v>48</v>
      </c>
      <c r="C29" s="20">
        <v>2050</v>
      </c>
    </row>
    <row r="30" spans="1:7">
      <c r="A30" s="20">
        <v>25</v>
      </c>
      <c r="B30" s="20" t="s">
        <v>49</v>
      </c>
      <c r="C30" s="20">
        <v>600</v>
      </c>
    </row>
  </sheetData>
  <mergeCells count="3">
    <mergeCell ref="F15:G15"/>
    <mergeCell ref="A2:E3"/>
    <mergeCell ref="A1:E1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D2680-CA32-4176-95A0-D9E0B8BB7AB2}">
  <dimension ref="A1:Q35"/>
  <sheetViews>
    <sheetView topLeftCell="C1" workbookViewId="0">
      <selection activeCell="I27" sqref="I27"/>
    </sheetView>
  </sheetViews>
  <sheetFormatPr defaultColWidth="8.77734375" defaultRowHeight="15"/>
  <sheetData>
    <row r="1" spans="1:17">
      <c r="A1" s="27" t="s">
        <v>52</v>
      </c>
      <c r="B1" s="27"/>
      <c r="C1" s="27"/>
      <c r="D1" s="27"/>
      <c r="E1" s="27"/>
      <c r="F1" s="27"/>
    </row>
    <row r="2" spans="1:17">
      <c r="A2" s="30" t="s">
        <v>50</v>
      </c>
      <c r="B2" s="31"/>
      <c r="C2" s="31"/>
      <c r="D2" s="31"/>
      <c r="E2" s="31"/>
      <c r="F2" s="31"/>
    </row>
    <row r="3" spans="1:17">
      <c r="A3" s="31"/>
      <c r="B3" s="31"/>
      <c r="C3" s="31"/>
      <c r="D3" s="31"/>
      <c r="E3" s="31"/>
      <c r="F3" s="31"/>
      <c r="I3">
        <f>-4*PI()</f>
        <v>-12.566370614359172</v>
      </c>
      <c r="J3">
        <f>-3*PI()</f>
        <v>-9.4247779607693793</v>
      </c>
      <c r="K3">
        <f>-2*PI()</f>
        <v>-6.2831853071795862</v>
      </c>
      <c r="L3">
        <f>-1*PI()</f>
        <v>-3.1415926535897931</v>
      </c>
      <c r="M3">
        <f>0*PI()</f>
        <v>0</v>
      </c>
      <c r="N3">
        <f>1*PI()</f>
        <v>3.1415926535897931</v>
      </c>
      <c r="O3">
        <f>2*PI()</f>
        <v>6.2831853071795862</v>
      </c>
      <c r="P3">
        <f>3*PI()</f>
        <v>9.4247779607693793</v>
      </c>
      <c r="Q3">
        <f>4*PI()</f>
        <v>12.566370614359172</v>
      </c>
    </row>
    <row r="4" spans="1:17">
      <c r="A4" s="30"/>
      <c r="B4" s="31"/>
      <c r="C4" s="31"/>
      <c r="D4" s="31"/>
      <c r="E4" s="31"/>
      <c r="F4" s="31"/>
      <c r="H4">
        <f>-4*PI()</f>
        <v>-12.566370614359172</v>
      </c>
      <c r="I4">
        <f>IF(AND($H4=0,I$3=0),1,SIN(SQRT($H4^2+I$3^2))/SQRT($H4^2+I$3^2))</f>
        <v>-4.9575063814172086E-2</v>
      </c>
      <c r="J4">
        <f t="shared" ref="J4:Q12" si="0">IF(AND($H4=0,J$3=0),1,SIN(SQRT($H4^2+J$3^2))/SQRT($H4^2+J$3^2))</f>
        <v>3.8997686524020982E-17</v>
      </c>
      <c r="K4">
        <f t="shared" si="0"/>
        <v>7.0903723372448643E-2</v>
      </c>
      <c r="L4">
        <f t="shared" si="0"/>
        <v>2.9118729937432527E-2</v>
      </c>
      <c r="M4">
        <f t="shared" si="0"/>
        <v>-3.8997686524020982E-17</v>
      </c>
      <c r="N4">
        <f t="shared" si="0"/>
        <v>2.9118729937432527E-2</v>
      </c>
      <c r="O4">
        <f t="shared" si="0"/>
        <v>7.0903723372448643E-2</v>
      </c>
      <c r="P4">
        <f t="shared" si="0"/>
        <v>3.8997686524020982E-17</v>
      </c>
      <c r="Q4">
        <f t="shared" si="0"/>
        <v>-4.9575063814172086E-2</v>
      </c>
    </row>
    <row r="5" spans="1:17">
      <c r="A5" s="31"/>
      <c r="B5" s="31"/>
      <c r="C5" s="31"/>
      <c r="D5" s="31"/>
      <c r="E5" s="31"/>
      <c r="F5" s="31"/>
      <c r="H5">
        <f>-3*PI()</f>
        <v>-9.4247779607693793</v>
      </c>
      <c r="I5">
        <f t="shared" ref="I5:I11" si="1">IF(AND($H5=0,I$3=0),1,SIN(SQRT($H5^2+I$3^2))/SQRT($H5^2+I$3^2))</f>
        <v>3.8997686524020982E-17</v>
      </c>
      <c r="J5">
        <f t="shared" si="0"/>
        <v>5.1811026530912921E-2</v>
      </c>
      <c r="K5">
        <f t="shared" si="0"/>
        <v>-8.3473865887332785E-2</v>
      </c>
      <c r="L5">
        <f t="shared" si="0"/>
        <v>-4.9122486991704989E-2</v>
      </c>
      <c r="M5">
        <f t="shared" si="0"/>
        <v>3.8997686524020982E-17</v>
      </c>
      <c r="N5">
        <f t="shared" si="0"/>
        <v>-4.9122486991704989E-2</v>
      </c>
      <c r="O5">
        <f t="shared" si="0"/>
        <v>-8.3473865887332785E-2</v>
      </c>
      <c r="P5">
        <f t="shared" si="0"/>
        <v>5.1811026530912921E-2</v>
      </c>
      <c r="Q5">
        <f t="shared" si="0"/>
        <v>3.8997686524020982E-17</v>
      </c>
    </row>
    <row r="6" spans="1:17">
      <c r="H6">
        <f>-2*PI()</f>
        <v>-6.2831853071795862</v>
      </c>
      <c r="I6">
        <f t="shared" si="1"/>
        <v>7.0903723372448643E-2</v>
      </c>
      <c r="J6">
        <f t="shared" si="0"/>
        <v>-8.3473865887332785E-2</v>
      </c>
      <c r="K6">
        <f t="shared" si="0"/>
        <v>5.7765239856828944E-2</v>
      </c>
      <c r="L6">
        <f t="shared" si="0"/>
        <v>9.6157737979439911E-2</v>
      </c>
      <c r="M6">
        <f t="shared" si="0"/>
        <v>-3.8997686524020982E-17</v>
      </c>
      <c r="N6">
        <f t="shared" si="0"/>
        <v>9.6157737979439911E-2</v>
      </c>
      <c r="O6">
        <f t="shared" si="0"/>
        <v>5.7765239856828944E-2</v>
      </c>
      <c r="P6">
        <f t="shared" si="0"/>
        <v>-8.3473865887332785E-2</v>
      </c>
      <c r="Q6">
        <f t="shared" si="0"/>
        <v>7.0903723372448643E-2</v>
      </c>
    </row>
    <row r="7" spans="1:17">
      <c r="H7">
        <f>-1*PI()</f>
        <v>-3.1415926535897931</v>
      </c>
      <c r="I7">
        <f t="shared" si="1"/>
        <v>2.9118729937432527E-2</v>
      </c>
      <c r="J7">
        <f t="shared" si="0"/>
        <v>-4.9122486991704989E-2</v>
      </c>
      <c r="K7">
        <f t="shared" si="0"/>
        <v>9.6157737979439911E-2</v>
      </c>
      <c r="L7">
        <f t="shared" si="0"/>
        <v>-0.21695429437747635</v>
      </c>
      <c r="M7">
        <f t="shared" si="0"/>
        <v>3.8997686524020982E-17</v>
      </c>
      <c r="N7">
        <f t="shared" si="0"/>
        <v>-0.21695429437747635</v>
      </c>
      <c r="O7">
        <f t="shared" si="0"/>
        <v>9.6157737979439911E-2</v>
      </c>
      <c r="P7">
        <f t="shared" si="0"/>
        <v>-4.9122486991704989E-2</v>
      </c>
      <c r="Q7">
        <f t="shared" si="0"/>
        <v>2.9118729937432527E-2</v>
      </c>
    </row>
    <row r="8" spans="1:17">
      <c r="H8">
        <f>0*PI()</f>
        <v>0</v>
      </c>
      <c r="I8">
        <f t="shared" si="1"/>
        <v>-3.8997686524020982E-17</v>
      </c>
      <c r="J8">
        <f t="shared" si="0"/>
        <v>3.8997686524020982E-17</v>
      </c>
      <c r="K8">
        <f t="shared" si="0"/>
        <v>-3.8997686524020982E-17</v>
      </c>
      <c r="L8">
        <f t="shared" si="0"/>
        <v>3.8997686524020982E-17</v>
      </c>
      <c r="M8">
        <f t="shared" si="0"/>
        <v>1</v>
      </c>
      <c r="N8">
        <f t="shared" si="0"/>
        <v>3.8997686524020982E-17</v>
      </c>
      <c r="O8">
        <f t="shared" si="0"/>
        <v>-3.8997686524020982E-17</v>
      </c>
      <c r="P8">
        <f t="shared" si="0"/>
        <v>3.8997686524020982E-17</v>
      </c>
      <c r="Q8">
        <f t="shared" si="0"/>
        <v>-3.8997686524020982E-17</v>
      </c>
    </row>
    <row r="9" spans="1:17">
      <c r="H9">
        <f>1*PI()</f>
        <v>3.1415926535897931</v>
      </c>
      <c r="I9">
        <f t="shared" si="1"/>
        <v>2.9118729937432527E-2</v>
      </c>
      <c r="J9">
        <f t="shared" si="0"/>
        <v>-4.9122486991704989E-2</v>
      </c>
      <c r="K9">
        <f t="shared" si="0"/>
        <v>9.6157737979439911E-2</v>
      </c>
      <c r="L9">
        <f t="shared" si="0"/>
        <v>-0.21695429437747635</v>
      </c>
      <c r="M9">
        <f t="shared" si="0"/>
        <v>3.8997686524020982E-17</v>
      </c>
      <c r="N9">
        <f t="shared" si="0"/>
        <v>-0.21695429437747635</v>
      </c>
      <c r="O9">
        <f t="shared" si="0"/>
        <v>9.6157737979439911E-2</v>
      </c>
      <c r="P9">
        <f t="shared" si="0"/>
        <v>-4.9122486991704989E-2</v>
      </c>
      <c r="Q9">
        <f t="shared" si="0"/>
        <v>2.9118729937432527E-2</v>
      </c>
    </row>
    <row r="10" spans="1:17">
      <c r="H10">
        <f>2*PI()</f>
        <v>6.2831853071795862</v>
      </c>
      <c r="I10">
        <f t="shared" si="1"/>
        <v>7.0903723372448643E-2</v>
      </c>
      <c r="J10">
        <f t="shared" si="0"/>
        <v>-8.3473865887332785E-2</v>
      </c>
      <c r="K10">
        <f t="shared" si="0"/>
        <v>5.7765239856828944E-2</v>
      </c>
      <c r="L10">
        <f t="shared" si="0"/>
        <v>9.6157737979439911E-2</v>
      </c>
      <c r="M10">
        <f t="shared" si="0"/>
        <v>-3.8997686524020982E-17</v>
      </c>
      <c r="N10">
        <f t="shared" si="0"/>
        <v>9.6157737979439911E-2</v>
      </c>
      <c r="O10">
        <f t="shared" si="0"/>
        <v>5.7765239856828944E-2</v>
      </c>
      <c r="P10">
        <f t="shared" si="0"/>
        <v>-8.3473865887332785E-2</v>
      </c>
      <c r="Q10">
        <f t="shared" si="0"/>
        <v>7.0903723372448643E-2</v>
      </c>
    </row>
    <row r="11" spans="1:17">
      <c r="H11">
        <f>3*PI()</f>
        <v>9.4247779607693793</v>
      </c>
      <c r="I11">
        <f t="shared" si="1"/>
        <v>3.8997686524020982E-17</v>
      </c>
      <c r="J11">
        <f t="shared" si="0"/>
        <v>5.1811026530912921E-2</v>
      </c>
      <c r="K11">
        <f t="shared" si="0"/>
        <v>-8.3473865887332785E-2</v>
      </c>
      <c r="L11">
        <f t="shared" si="0"/>
        <v>-4.9122486991704989E-2</v>
      </c>
      <c r="M11">
        <f t="shared" si="0"/>
        <v>3.8997686524020982E-17</v>
      </c>
      <c r="N11">
        <f t="shared" si="0"/>
        <v>-4.9122486991704989E-2</v>
      </c>
      <c r="O11">
        <f t="shared" si="0"/>
        <v>-8.3473865887332785E-2</v>
      </c>
      <c r="P11">
        <f t="shared" si="0"/>
        <v>5.1811026530912921E-2</v>
      </c>
      <c r="Q11">
        <f t="shared" si="0"/>
        <v>3.8997686524020982E-17</v>
      </c>
    </row>
    <row r="12" spans="1:17">
      <c r="H12">
        <f>4*PI()</f>
        <v>12.566370614359172</v>
      </c>
      <c r="I12">
        <f>IF(AND($H12=0,I$3=0),1,SIN(SQRT($H12^2+I$3^2))/SQRT($H12^2+I$3^2))</f>
        <v>-4.9575063814172086E-2</v>
      </c>
      <c r="J12">
        <f t="shared" si="0"/>
        <v>3.8997686524020982E-17</v>
      </c>
      <c r="K12">
        <f t="shared" si="0"/>
        <v>7.0903723372448643E-2</v>
      </c>
      <c r="L12">
        <f t="shared" si="0"/>
        <v>2.9118729937432527E-2</v>
      </c>
      <c r="M12">
        <f t="shared" si="0"/>
        <v>-3.8997686524020982E-17</v>
      </c>
      <c r="N12">
        <f t="shared" si="0"/>
        <v>2.9118729937432527E-2</v>
      </c>
      <c r="O12">
        <f t="shared" si="0"/>
        <v>7.0903723372448643E-2</v>
      </c>
      <c r="P12">
        <f t="shared" si="0"/>
        <v>3.8997686524020982E-17</v>
      </c>
      <c r="Q12">
        <f t="shared" si="0"/>
        <v>-4.9575063814172086E-2</v>
      </c>
    </row>
    <row r="19" spans="1:16">
      <c r="A19" s="27" t="s">
        <v>51</v>
      </c>
      <c r="B19" s="27"/>
      <c r="C19" s="27"/>
      <c r="D19" s="27"/>
      <c r="E19" s="27"/>
      <c r="F19" s="27"/>
    </row>
    <row r="20" spans="1:16">
      <c r="A20" s="30" t="s">
        <v>50</v>
      </c>
      <c r="B20" s="31"/>
      <c r="C20" s="31"/>
      <c r="D20" s="31"/>
      <c r="E20" s="31"/>
      <c r="F20" s="31"/>
    </row>
    <row r="21" spans="1:16">
      <c r="A21" s="31"/>
      <c r="B21" s="31"/>
      <c r="C21" s="31"/>
      <c r="D21" s="31"/>
      <c r="E21" s="31"/>
      <c r="F21" s="31"/>
    </row>
    <row r="22" spans="1:16">
      <c r="A22" s="30"/>
      <c r="B22" s="31"/>
      <c r="C22" s="31"/>
      <c r="D22" s="31"/>
      <c r="E22" s="31"/>
      <c r="F22" s="31"/>
    </row>
    <row r="23" spans="1:16">
      <c r="A23" s="31"/>
      <c r="B23" s="31"/>
      <c r="C23" s="31"/>
      <c r="D23" s="31"/>
      <c r="E23" s="31"/>
      <c r="F23" s="31"/>
    </row>
    <row r="26" spans="1:16">
      <c r="H26">
        <v>-4</v>
      </c>
      <c r="I26">
        <v>-3</v>
      </c>
      <c r="J26">
        <v>-2</v>
      </c>
      <c r="K26">
        <v>-1</v>
      </c>
      <c r="L26">
        <v>0</v>
      </c>
      <c r="M26">
        <v>1</v>
      </c>
      <c r="N26">
        <v>2</v>
      </c>
      <c r="O26">
        <v>3</v>
      </c>
      <c r="P26">
        <v>4</v>
      </c>
    </row>
    <row r="27" spans="1:16">
      <c r="G27">
        <v>-4</v>
      </c>
      <c r="H27">
        <f>H$26 ^2 - $G27^2</f>
        <v>0</v>
      </c>
      <c r="I27">
        <f t="shared" ref="I27:P35" si="2">I$26 ^2 - $G27^2</f>
        <v>-7</v>
      </c>
      <c r="J27">
        <f t="shared" si="2"/>
        <v>-12</v>
      </c>
      <c r="K27">
        <f t="shared" si="2"/>
        <v>-15</v>
      </c>
      <c r="L27">
        <f t="shared" si="2"/>
        <v>-16</v>
      </c>
      <c r="M27">
        <f t="shared" si="2"/>
        <v>-15</v>
      </c>
      <c r="N27">
        <f t="shared" si="2"/>
        <v>-12</v>
      </c>
      <c r="O27">
        <f t="shared" si="2"/>
        <v>-7</v>
      </c>
      <c r="P27">
        <f t="shared" si="2"/>
        <v>0</v>
      </c>
    </row>
    <row r="28" spans="1:16">
      <c r="G28">
        <v>-3</v>
      </c>
      <c r="H28">
        <f t="shared" ref="H28:H35" si="3">H$26 ^2 - $G28^2</f>
        <v>7</v>
      </c>
      <c r="I28">
        <f t="shared" si="2"/>
        <v>0</v>
      </c>
      <c r="J28">
        <f t="shared" si="2"/>
        <v>-5</v>
      </c>
      <c r="K28">
        <f t="shared" si="2"/>
        <v>-8</v>
      </c>
      <c r="L28">
        <f t="shared" si="2"/>
        <v>-9</v>
      </c>
      <c r="M28">
        <f t="shared" si="2"/>
        <v>-8</v>
      </c>
      <c r="N28">
        <f t="shared" si="2"/>
        <v>-5</v>
      </c>
      <c r="O28">
        <f t="shared" si="2"/>
        <v>0</v>
      </c>
      <c r="P28">
        <f t="shared" si="2"/>
        <v>7</v>
      </c>
    </row>
    <row r="29" spans="1:16">
      <c r="G29">
        <v>-2</v>
      </c>
      <c r="H29">
        <f t="shared" si="3"/>
        <v>12</v>
      </c>
      <c r="I29">
        <f t="shared" si="2"/>
        <v>5</v>
      </c>
      <c r="J29">
        <f t="shared" si="2"/>
        <v>0</v>
      </c>
      <c r="K29">
        <f t="shared" si="2"/>
        <v>-3</v>
      </c>
      <c r="L29">
        <f t="shared" si="2"/>
        <v>-4</v>
      </c>
      <c r="M29">
        <f t="shared" si="2"/>
        <v>-3</v>
      </c>
      <c r="N29">
        <f t="shared" si="2"/>
        <v>0</v>
      </c>
      <c r="O29">
        <f t="shared" si="2"/>
        <v>5</v>
      </c>
      <c r="P29">
        <f t="shared" si="2"/>
        <v>12</v>
      </c>
    </row>
    <row r="30" spans="1:16">
      <c r="G30">
        <v>-1</v>
      </c>
      <c r="H30">
        <f t="shared" si="3"/>
        <v>15</v>
      </c>
      <c r="I30">
        <f t="shared" si="2"/>
        <v>8</v>
      </c>
      <c r="J30">
        <f t="shared" si="2"/>
        <v>3</v>
      </c>
      <c r="K30">
        <f t="shared" si="2"/>
        <v>0</v>
      </c>
      <c r="L30">
        <f t="shared" si="2"/>
        <v>-1</v>
      </c>
      <c r="M30">
        <f t="shared" si="2"/>
        <v>0</v>
      </c>
      <c r="N30">
        <f t="shared" si="2"/>
        <v>3</v>
      </c>
      <c r="O30">
        <f t="shared" si="2"/>
        <v>8</v>
      </c>
      <c r="P30">
        <f t="shared" si="2"/>
        <v>15</v>
      </c>
    </row>
    <row r="31" spans="1:16">
      <c r="G31">
        <v>0</v>
      </c>
      <c r="H31">
        <f t="shared" si="3"/>
        <v>16</v>
      </c>
      <c r="I31">
        <f t="shared" si="2"/>
        <v>9</v>
      </c>
      <c r="J31">
        <f t="shared" si="2"/>
        <v>4</v>
      </c>
      <c r="K31">
        <f t="shared" si="2"/>
        <v>1</v>
      </c>
      <c r="L31">
        <f t="shared" si="2"/>
        <v>0</v>
      </c>
      <c r="M31">
        <f t="shared" si="2"/>
        <v>1</v>
      </c>
      <c r="N31">
        <f t="shared" si="2"/>
        <v>4</v>
      </c>
      <c r="O31">
        <f t="shared" si="2"/>
        <v>9</v>
      </c>
      <c r="P31">
        <f t="shared" si="2"/>
        <v>16</v>
      </c>
    </row>
    <row r="32" spans="1:16">
      <c r="G32">
        <v>1</v>
      </c>
      <c r="H32">
        <f t="shared" si="3"/>
        <v>15</v>
      </c>
      <c r="I32">
        <f t="shared" si="2"/>
        <v>8</v>
      </c>
      <c r="J32">
        <f t="shared" si="2"/>
        <v>3</v>
      </c>
      <c r="K32">
        <f t="shared" si="2"/>
        <v>0</v>
      </c>
      <c r="L32">
        <f t="shared" si="2"/>
        <v>-1</v>
      </c>
      <c r="M32">
        <f t="shared" si="2"/>
        <v>0</v>
      </c>
      <c r="N32">
        <f t="shared" si="2"/>
        <v>3</v>
      </c>
      <c r="O32">
        <f t="shared" si="2"/>
        <v>8</v>
      </c>
      <c r="P32">
        <f t="shared" si="2"/>
        <v>15</v>
      </c>
    </row>
    <row r="33" spans="7:16">
      <c r="G33">
        <v>2</v>
      </c>
      <c r="H33">
        <f t="shared" si="3"/>
        <v>12</v>
      </c>
      <c r="I33">
        <f t="shared" si="2"/>
        <v>5</v>
      </c>
      <c r="J33">
        <f t="shared" si="2"/>
        <v>0</v>
      </c>
      <c r="K33">
        <f t="shared" si="2"/>
        <v>-3</v>
      </c>
      <c r="L33">
        <f t="shared" si="2"/>
        <v>-4</v>
      </c>
      <c r="M33">
        <f t="shared" si="2"/>
        <v>-3</v>
      </c>
      <c r="N33">
        <f t="shared" si="2"/>
        <v>0</v>
      </c>
      <c r="O33">
        <f t="shared" si="2"/>
        <v>5</v>
      </c>
      <c r="P33">
        <f t="shared" si="2"/>
        <v>12</v>
      </c>
    </row>
    <row r="34" spans="7:16">
      <c r="G34">
        <v>3</v>
      </c>
      <c r="H34">
        <f t="shared" si="3"/>
        <v>7</v>
      </c>
      <c r="I34">
        <f t="shared" si="2"/>
        <v>0</v>
      </c>
      <c r="J34">
        <f t="shared" si="2"/>
        <v>-5</v>
      </c>
      <c r="K34">
        <f t="shared" si="2"/>
        <v>-8</v>
      </c>
      <c r="L34">
        <f t="shared" si="2"/>
        <v>-9</v>
      </c>
      <c r="M34">
        <f t="shared" si="2"/>
        <v>-8</v>
      </c>
      <c r="N34">
        <f t="shared" si="2"/>
        <v>-5</v>
      </c>
      <c r="O34">
        <f t="shared" si="2"/>
        <v>0</v>
      </c>
      <c r="P34">
        <f t="shared" si="2"/>
        <v>7</v>
      </c>
    </row>
    <row r="35" spans="7:16">
      <c r="G35">
        <v>4</v>
      </c>
      <c r="H35">
        <f t="shared" si="3"/>
        <v>0</v>
      </c>
      <c r="I35">
        <f t="shared" si="2"/>
        <v>-7</v>
      </c>
      <c r="J35">
        <f t="shared" si="2"/>
        <v>-12</v>
      </c>
      <c r="K35">
        <f t="shared" si="2"/>
        <v>-15</v>
      </c>
      <c r="L35">
        <f t="shared" si="2"/>
        <v>-16</v>
      </c>
      <c r="M35">
        <f t="shared" si="2"/>
        <v>-15</v>
      </c>
      <c r="N35">
        <f t="shared" si="2"/>
        <v>-12</v>
      </c>
      <c r="O35">
        <f t="shared" si="2"/>
        <v>-7</v>
      </c>
      <c r="P35">
        <f t="shared" si="2"/>
        <v>0</v>
      </c>
    </row>
  </sheetData>
  <mergeCells count="6">
    <mergeCell ref="A1:F1"/>
    <mergeCell ref="A2:F3"/>
    <mergeCell ref="A4:F5"/>
    <mergeCell ref="A19:F19"/>
    <mergeCell ref="A20:F21"/>
    <mergeCell ref="A22:F2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8ff92392-223e-4d27-942d-0d0df19402a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91428B6D14B24CA1B715456BAE6801" ma:contentTypeVersion="4" ma:contentTypeDescription="Create a new document." ma:contentTypeScope="" ma:versionID="1a90e4a23bf6dfb5499dd961f713956c">
  <xsd:schema xmlns:xsd="http://www.w3.org/2001/XMLSchema" xmlns:xs="http://www.w3.org/2001/XMLSchema" xmlns:p="http://schemas.microsoft.com/office/2006/metadata/properties" xmlns:ns2="8ff92392-223e-4d27-942d-0d0df19402a3" targetNamespace="http://schemas.microsoft.com/office/2006/metadata/properties" ma:root="true" ma:fieldsID="9eca348da624cc024df1c4601cfc4754" ns2:_="">
    <xsd:import namespace="8ff92392-223e-4d27-942d-0d0df19402a3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f92392-223e-4d27-942d-0d0df19402a3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DE63D1-0CE1-4FA8-8600-34066FB160F8}">
  <ds:schemaRefs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www.w3.org/XML/1998/namespace"/>
    <ds:schemaRef ds:uri="8ff92392-223e-4d27-942d-0d0df19402a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0288B05-14A4-4FAF-9E11-9728A1DB9A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BD3B30-3507-490B-B444-7E73BA5339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f92392-223e-4d27-942d-0d0df19402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1 - Column chart</vt:lpstr>
      <vt:lpstr>Task 2 - Scatter chart</vt:lpstr>
      <vt:lpstr>Task 3- Line chart</vt:lpstr>
      <vt:lpstr>Task 4 - Pie chart</vt:lpstr>
      <vt:lpstr>Task 5-Surface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Paweł Barczykowski</dc:creator>
  <cp:keywords/>
  <dc:description/>
  <cp:lastModifiedBy>Maksym Lysenkov</cp:lastModifiedBy>
  <cp:revision/>
  <dcterms:created xsi:type="dcterms:W3CDTF">2025-11-02T09:14:56Z</dcterms:created>
  <dcterms:modified xsi:type="dcterms:W3CDTF">2025-11-05T13:55:21Z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0x0101004F91428B6D14B24CA1B715456BAE6801</vt:lpwstr>
  </property>
  <property fmtid="{D5CDD505-2E9C-101B-9397-08002B2CF9AE}" pid="3" name="MediaServiceImageTags">
    <vt:lpwstr/>
  </property>
  <property fmtid="{D5CDD505-2E9C-101B-9397-08002B2CF9AE}" pid="4" name="Order">
    <vt:r8>8400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</Properties>
</file>