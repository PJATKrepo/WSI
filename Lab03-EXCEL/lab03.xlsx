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 filterPrivacy="1"/>
  <xr:revisionPtr revIDLastSave="0" documentId="8_{B0D424D7-4FDE-4CA7-B355-71649E0A43E3}" xr6:coauthVersionLast="36" xr6:coauthVersionMax="36" xr10:uidLastSave="{00000000-0000-0000-0000-000000000000}"/>
  <bookViews>
    <workbookView xWindow="0" yWindow="0" windowWidth="28800" windowHeight="12105" tabRatio="700" activeTab="3" xr2:uid="{00000000-000D-0000-FFFF-FFFF00000000}"/>
  </bookViews>
  <sheets>
    <sheet name="Basics" sheetId="1" r:id="rId1"/>
    <sheet name="Flashfill" sheetId="7" r:id="rId2"/>
    <sheet name="Table formula" sheetId="11" r:id="rId3"/>
    <sheet name="Transposition" sheetId="9" r:id="rId4"/>
    <sheet name="TextToColumns" sheetId="10" r:id="rId5"/>
    <sheet name="Conditional formatting" sheetId="5" r:id="rId6"/>
    <sheet name="Calculations" sheetId="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8" i="1"/>
  <c r="H9" i="1"/>
  <c r="H10" i="1"/>
  <c r="H11" i="1"/>
  <c r="H7" i="1"/>
  <c r="G6" i="3"/>
  <c r="G7" i="3"/>
  <c r="G8" i="3"/>
  <c r="G9" i="3"/>
  <c r="G10" i="3"/>
  <c r="G11" i="3"/>
  <c r="G12" i="3"/>
  <c r="G5" i="3"/>
  <c r="F6" i="3"/>
  <c r="F7" i="3"/>
  <c r="F8" i="3"/>
  <c r="F9" i="3"/>
  <c r="F10" i="3"/>
  <c r="F11" i="3"/>
  <c r="F12" i="3"/>
  <c r="F5" i="3"/>
  <c r="E6" i="3"/>
  <c r="E7" i="3"/>
  <c r="E8" i="3"/>
  <c r="E9" i="3"/>
  <c r="E10" i="3"/>
  <c r="E11" i="3"/>
  <c r="E12" i="3"/>
  <c r="E5" i="3"/>
  <c r="D6" i="3"/>
  <c r="D7" i="3"/>
  <c r="D8" i="3"/>
  <c r="D9" i="3"/>
  <c r="D10" i="3"/>
  <c r="D11" i="3"/>
  <c r="D12" i="3"/>
  <c r="D5" i="3"/>
  <c r="D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C5" i="11"/>
  <c r="B5" i="11"/>
  <c r="D6" i="11"/>
  <c r="E6" i="11"/>
  <c r="F6" i="11"/>
  <c r="G6" i="11"/>
  <c r="H6" i="11"/>
  <c r="I6" i="11"/>
  <c r="J6" i="11"/>
  <c r="K6" i="11"/>
  <c r="L6" i="11"/>
  <c r="M6" i="11"/>
  <c r="D7" i="11"/>
  <c r="E7" i="11"/>
  <c r="F7" i="11"/>
  <c r="G7" i="11"/>
  <c r="H7" i="11"/>
  <c r="I7" i="11"/>
  <c r="J7" i="11"/>
  <c r="K7" i="11"/>
  <c r="L7" i="11"/>
  <c r="M7" i="11"/>
  <c r="D8" i="11"/>
  <c r="E8" i="11"/>
  <c r="F8" i="11"/>
  <c r="G8" i="11"/>
  <c r="H8" i="11"/>
  <c r="I8" i="11"/>
  <c r="J8" i="11"/>
  <c r="K8" i="11"/>
  <c r="L8" i="11"/>
  <c r="M8" i="11"/>
  <c r="D9" i="11"/>
  <c r="E9" i="11"/>
  <c r="F9" i="11"/>
  <c r="G9" i="11"/>
  <c r="H9" i="11"/>
  <c r="I9" i="11"/>
  <c r="J9" i="11"/>
  <c r="K9" i="11"/>
  <c r="L9" i="11"/>
  <c r="M9" i="11"/>
  <c r="D10" i="11"/>
  <c r="E10" i="11"/>
  <c r="F10" i="11"/>
  <c r="G10" i="11"/>
  <c r="H10" i="11"/>
  <c r="I10" i="11"/>
  <c r="J10" i="11"/>
  <c r="K10" i="11"/>
  <c r="L10" i="11"/>
  <c r="M10" i="11"/>
  <c r="D11" i="11"/>
  <c r="E11" i="11"/>
  <c r="F11" i="11"/>
  <c r="G11" i="11"/>
  <c r="H11" i="11"/>
  <c r="I11" i="11"/>
  <c r="J11" i="11"/>
  <c r="K11" i="11"/>
  <c r="L11" i="11"/>
  <c r="M11" i="11"/>
  <c r="D12" i="11"/>
  <c r="E12" i="11"/>
  <c r="F12" i="11"/>
  <c r="G12" i="11"/>
  <c r="H12" i="11"/>
  <c r="I12" i="11"/>
  <c r="J12" i="11"/>
  <c r="K12" i="11"/>
  <c r="L12" i="11"/>
  <c r="M12" i="11"/>
  <c r="D13" i="11"/>
  <c r="E13" i="11"/>
  <c r="F13" i="11"/>
  <c r="G13" i="11"/>
  <c r="H13" i="11"/>
  <c r="I13" i="11"/>
  <c r="J13" i="11"/>
  <c r="K13" i="11"/>
  <c r="L13" i="11"/>
  <c r="M13" i="11"/>
  <c r="D14" i="11"/>
  <c r="E14" i="11"/>
  <c r="F14" i="11"/>
  <c r="G14" i="11"/>
  <c r="H14" i="11"/>
  <c r="I14" i="11"/>
  <c r="J14" i="11"/>
  <c r="K14" i="11"/>
  <c r="L14" i="11"/>
  <c r="M14" i="11"/>
  <c r="D15" i="11"/>
  <c r="E15" i="11"/>
  <c r="F15" i="11"/>
  <c r="G15" i="11"/>
  <c r="H15" i="11"/>
  <c r="I15" i="11"/>
  <c r="J15" i="11"/>
  <c r="K15" i="11"/>
  <c r="L15" i="11"/>
  <c r="M15" i="11"/>
  <c r="D16" i="11"/>
  <c r="E16" i="11"/>
  <c r="F16" i="11"/>
  <c r="G16" i="11"/>
  <c r="H16" i="11"/>
  <c r="I16" i="11"/>
  <c r="J16" i="11"/>
  <c r="K16" i="11"/>
  <c r="L16" i="11"/>
  <c r="M16" i="11"/>
  <c r="D17" i="11"/>
  <c r="E17" i="11"/>
  <c r="F17" i="11"/>
  <c r="G17" i="11"/>
  <c r="H17" i="11"/>
  <c r="I17" i="11"/>
  <c r="J17" i="11"/>
  <c r="K17" i="11"/>
  <c r="L17" i="11"/>
  <c r="M17" i="11"/>
  <c r="D18" i="11"/>
  <c r="E18" i="11"/>
  <c r="F18" i="11"/>
  <c r="G18" i="11"/>
  <c r="H18" i="11"/>
  <c r="I18" i="11"/>
  <c r="J18" i="11"/>
  <c r="K18" i="11"/>
  <c r="L18" i="11"/>
  <c r="M18" i="11"/>
  <c r="D19" i="11"/>
  <c r="E19" i="11"/>
  <c r="F19" i="11"/>
  <c r="G19" i="11"/>
  <c r="H19" i="11"/>
  <c r="I19" i="11"/>
  <c r="J19" i="11"/>
  <c r="K19" i="11"/>
  <c r="L19" i="11"/>
  <c r="M19" i="11"/>
  <c r="D20" i="11"/>
  <c r="E20" i="11"/>
  <c r="F20" i="11"/>
  <c r="G20" i="11"/>
  <c r="H20" i="11"/>
  <c r="I20" i="11"/>
  <c r="J20" i="11"/>
  <c r="K20" i="11"/>
  <c r="L20" i="11"/>
  <c r="M20" i="11"/>
  <c r="E5" i="11"/>
  <c r="F5" i="11"/>
  <c r="G5" i="11"/>
  <c r="H5" i="11"/>
  <c r="I5" i="11"/>
  <c r="J5" i="11"/>
  <c r="K5" i="11"/>
  <c r="L5" i="11"/>
  <c r="M5" i="11"/>
  <c r="A10" i="9" a="1"/>
  <c r="B10" i="9" s="1"/>
  <c r="L18" i="1"/>
  <c r="L19" i="1"/>
  <c r="L20" i="1"/>
  <c r="L21" i="1"/>
  <c r="L22" i="1"/>
  <c r="L17" i="1"/>
  <c r="K6" i="1"/>
  <c r="K8" i="1"/>
  <c r="K7" i="1"/>
  <c r="B19" i="1"/>
  <c r="B20" i="1"/>
  <c r="B21" i="1"/>
  <c r="B22" i="1"/>
  <c r="B23" i="1"/>
  <c r="B24" i="1"/>
  <c r="B25" i="1"/>
  <c r="B18" i="1"/>
  <c r="A10" i="9" l="1"/>
  <c r="A11" i="9"/>
  <c r="B15" i="9"/>
  <c r="A15" i="9"/>
  <c r="B14" i="9"/>
  <c r="A14" i="9"/>
  <c r="B13" i="9"/>
  <c r="A13" i="9"/>
  <c r="B12" i="9"/>
  <c r="A12" i="9"/>
  <c r="B11" i="9"/>
  <c r="E37" i="5"/>
  <c r="D37" i="5"/>
  <c r="C37" i="5"/>
  <c r="B37" i="5"/>
  <c r="A37" i="5"/>
  <c r="E36" i="5"/>
  <c r="D36" i="5"/>
  <c r="C36" i="5"/>
  <c r="B36" i="5"/>
  <c r="A36" i="5"/>
  <c r="E35" i="5"/>
  <c r="D35" i="5"/>
  <c r="C35" i="5"/>
  <c r="B35" i="5"/>
  <c r="A35" i="5"/>
  <c r="E34" i="5"/>
  <c r="D34" i="5"/>
  <c r="C34" i="5"/>
  <c r="B34" i="5"/>
  <c r="A34" i="5"/>
  <c r="E33" i="5"/>
  <c r="D33" i="5"/>
  <c r="C33" i="5"/>
  <c r="B33" i="5"/>
  <c r="A33" i="5"/>
  <c r="E32" i="5"/>
  <c r="D32" i="5"/>
  <c r="C32" i="5"/>
  <c r="B32" i="5"/>
  <c r="A32" i="5"/>
  <c r="E31" i="5"/>
  <c r="D31" i="5"/>
  <c r="C31" i="5"/>
  <c r="B31" i="5"/>
  <c r="A31" i="5"/>
  <c r="A6" i="5"/>
  <c r="B6" i="5"/>
  <c r="C6" i="5"/>
  <c r="D6" i="5"/>
  <c r="E6" i="5"/>
  <c r="A7" i="5"/>
  <c r="B7" i="5"/>
  <c r="C7" i="5"/>
  <c r="D7" i="5"/>
  <c r="E7" i="5"/>
  <c r="A8" i="5"/>
  <c r="B8" i="5"/>
  <c r="C8" i="5"/>
  <c r="D8" i="5"/>
  <c r="E8" i="5"/>
  <c r="A9" i="5"/>
  <c r="B9" i="5"/>
  <c r="C9" i="5"/>
  <c r="D9" i="5"/>
  <c r="E9" i="5"/>
  <c r="A10" i="5"/>
  <c r="B10" i="5"/>
  <c r="C10" i="5"/>
  <c r="D10" i="5"/>
  <c r="E10" i="5"/>
  <c r="A11" i="5"/>
  <c r="B11" i="5"/>
  <c r="C11" i="5"/>
  <c r="D11" i="5"/>
  <c r="E11" i="5"/>
  <c r="A12" i="5"/>
  <c r="B12" i="5"/>
  <c r="C12" i="5"/>
  <c r="D12" i="5"/>
  <c r="E12" i="5"/>
</calcChain>
</file>

<file path=xl/sharedStrings.xml><?xml version="1.0" encoding="utf-8"?>
<sst xmlns="http://schemas.openxmlformats.org/spreadsheetml/2006/main" count="228" uniqueCount="182">
  <si>
    <t>Student</t>
  </si>
  <si>
    <t>Mateusz</t>
  </si>
  <si>
    <t>Krzysztof</t>
  </si>
  <si>
    <t>Grzegorz</t>
  </si>
  <si>
    <t>Olek</t>
  </si>
  <si>
    <t>Michał</t>
  </si>
  <si>
    <t>Jarek</t>
  </si>
  <si>
    <t>Name</t>
  </si>
  <si>
    <t>Surname</t>
  </si>
  <si>
    <t>Kawiecki</t>
  </si>
  <si>
    <t>Korzen</t>
  </si>
  <si>
    <t>Fuks</t>
  </si>
  <si>
    <t>Cyran</t>
  </si>
  <si>
    <t>Laskowski</t>
  </si>
  <si>
    <t>A)</t>
  </si>
  <si>
    <t>B)</t>
  </si>
  <si>
    <t>A</t>
  </si>
  <si>
    <t>B</t>
  </si>
  <si>
    <t>C</t>
  </si>
  <si>
    <t>C)</t>
  </si>
  <si>
    <t>D)</t>
  </si>
  <si>
    <t>D</t>
  </si>
  <si>
    <t>Numbers</t>
  </si>
  <si>
    <t>Mateusz Kawiecki s12324</t>
  </si>
  <si>
    <t>Krzysztof Korzen s14263</t>
  </si>
  <si>
    <t>Grzegorz Fuks s22134</t>
  </si>
  <si>
    <t>Olek Cyran s18768</t>
  </si>
  <si>
    <t>Michał Jarek s19006</t>
  </si>
  <si>
    <t>Michał Laskowski s16754</t>
  </si>
  <si>
    <t>Paweł Sobieraj s17642</t>
  </si>
  <si>
    <t>Łukasz Ptak s19327</t>
  </si>
  <si>
    <t>Dominik Król s15483</t>
  </si>
  <si>
    <t>Tomasz Gajewski s21259</t>
  </si>
  <si>
    <t>Jakub Frączek s18541</t>
  </si>
  <si>
    <t>Patryk Mazur s14496</t>
  </si>
  <si>
    <t>Adrian Dębski s19937</t>
  </si>
  <si>
    <t>Szymon Kosiński s17204</t>
  </si>
  <si>
    <t>Kamil Nowicki s18852</t>
  </si>
  <si>
    <t>Rafał Kurek s16073</t>
  </si>
  <si>
    <t>Jan,Baranowski,s15842</t>
  </si>
  <si>
    <t>Piotr,Leśniak,s19305</t>
  </si>
  <si>
    <t>Konrad,Stolarz,s18476</t>
  </si>
  <si>
    <t>Artur,Wieczorek,s17231</t>
  </si>
  <si>
    <t>Damian,Nowakowski,s16720</t>
  </si>
  <si>
    <t>Sebastian,Kruk,s19047</t>
  </si>
  <si>
    <t>Norbert,Marciniak,s14452</t>
  </si>
  <si>
    <t>Wojciech,Kołodziej,s21389</t>
  </si>
  <si>
    <t>Igor,Szymczak,s19958</t>
  </si>
  <si>
    <t>Bartłomiej,Orzechowski,s18594</t>
  </si>
  <si>
    <t>Emil,Adamczyk,s17683</t>
  </si>
  <si>
    <t>Maciej,Grochowski,s15412</t>
  </si>
  <si>
    <t>Dawid,Walczak,s18865</t>
  </si>
  <si>
    <t>Cezary,Błaszczyk,s16239</t>
  </si>
  <si>
    <t>Filip,Chmiel,s17850</t>
  </si>
  <si>
    <t>*</t>
  </si>
  <si>
    <t>Number</t>
  </si>
  <si>
    <t>Task 1</t>
  </si>
  <si>
    <t>Task 2</t>
  </si>
  <si>
    <t>Task 3</t>
  </si>
  <si>
    <t>Task 4</t>
  </si>
  <si>
    <t>Task 5</t>
  </si>
  <si>
    <t>Task 6</t>
  </si>
  <si>
    <t>Total score</t>
  </si>
  <si>
    <t>Multiply the numbers by the value in cell B17. Use this cell as the absolute value (with the $ sign).</t>
  </si>
  <si>
    <t>Statistics</t>
  </si>
  <si>
    <t>Total avg:</t>
  </si>
  <si>
    <t>Min score:</t>
  </si>
  <si>
    <t>Max score:</t>
  </si>
  <si>
    <t>Combine the name and surname into one column using a formula.</t>
  </si>
  <si>
    <t>Name &amp; Surname</t>
  </si>
  <si>
    <r>
      <t xml:space="preserve">Write a formula to sum students' points in the </t>
    </r>
    <r>
      <rPr>
        <b/>
        <sz val="11"/>
        <color theme="1"/>
        <rFont val="Calibri"/>
        <family val="2"/>
        <scheme val="minor"/>
      </rPr>
      <t>Total score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</si>
  <si>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Complete the table below using the AVG(), MIN() and MAX() functions using the data from the </t>
    </r>
    <r>
      <rPr>
        <b/>
        <sz val="11"/>
        <color theme="1"/>
        <rFont val="Calibri"/>
        <family val="2"/>
        <scheme val="minor"/>
      </rPr>
      <t>Total score</t>
    </r>
    <r>
      <rPr>
        <sz val="11"/>
        <color theme="1"/>
        <rFont val="Calibri"/>
        <family val="2"/>
        <scheme val="minor"/>
      </rPr>
      <t xml:space="preserve"> column.</t>
    </r>
  </si>
  <si>
    <r>
      <t>Use flashfill (</t>
    </r>
    <r>
      <rPr>
        <b/>
        <sz val="11"/>
        <color theme="1"/>
        <rFont val="Calibri"/>
        <family val="2"/>
        <scheme val="minor"/>
      </rPr>
      <t>CTRL + E</t>
    </r>
    <r>
      <rPr>
        <sz val="11"/>
        <color theme="1"/>
        <rFont val="Calibri"/>
        <family val="2"/>
        <scheme val="minor"/>
      </rPr>
      <t>) to fill in the table below.</t>
    </r>
  </si>
  <si>
    <t>Task 5 Flashfill</t>
  </si>
  <si>
    <t>Name Surname Id</t>
  </si>
  <si>
    <t>Id</t>
  </si>
  <si>
    <t>Formatted phone number</t>
  </si>
  <si>
    <t>Display phone numbers in this format: +48 657-384-231 (you have to change cell type to text)</t>
  </si>
  <si>
    <t>Task 6 Table formula</t>
  </si>
  <si>
    <t>Fill the multiplication table using a table formula.</t>
  </si>
  <si>
    <t>Task 7 Transposition</t>
  </si>
  <si>
    <t>Students</t>
  </si>
  <si>
    <r>
      <t xml:space="preserve">Use </t>
    </r>
    <r>
      <rPr>
        <b/>
        <sz val="11"/>
        <color theme="1"/>
        <rFont val="Calibri"/>
        <family val="2"/>
        <scheme val="minor"/>
      </rPr>
      <t>Data -&gt; Text to Columns</t>
    </r>
    <r>
      <rPr>
        <sz val="11"/>
        <color theme="1"/>
        <rFont val="Calibri"/>
        <family val="2"/>
        <scheme val="minor"/>
      </rPr>
      <t xml:space="preserve"> to move data to the Students table.</t>
    </r>
  </si>
  <si>
    <t>Use the transpose function to change the shape of the data.</t>
  </si>
  <si>
    <t>Task 8 Text to columns</t>
  </si>
  <si>
    <t>Task 9 Simple Conditional Formatting</t>
  </si>
  <si>
    <t>Task 1 Formulas</t>
  </si>
  <si>
    <t>Task 2 Absolute cell</t>
  </si>
  <si>
    <t>Task 3 Functions</t>
  </si>
  <si>
    <t>Task 4 Combining text</t>
  </si>
  <si>
    <t>Task 10 Conditional formatting based on a formula</t>
  </si>
  <si>
    <r>
      <t xml:space="preserve">Add conditional formatting so that numbers </t>
    </r>
    <r>
      <rPr>
        <b/>
        <sz val="11"/>
        <color theme="1"/>
        <rFont val="Calibri"/>
        <family val="2"/>
        <scheme val="minor"/>
      </rPr>
      <t>less</t>
    </r>
    <r>
      <rPr>
        <sz val="11"/>
        <color theme="1"/>
        <rFont val="Calibri"/>
        <family val="2"/>
        <scheme val="minor"/>
      </rPr>
      <t xml:space="preserve"> than 20 appear in </t>
    </r>
    <r>
      <rPr>
        <sz val="11"/>
        <color rgb="FFFF0000"/>
        <rFont val="Calibri (Tekst podstawowy)"/>
        <charset val="238"/>
      </rPr>
      <t>red</t>
    </r>
    <r>
      <rPr>
        <sz val="11"/>
        <color theme="1"/>
        <rFont val="Calibri"/>
        <family val="2"/>
        <scheme val="minor"/>
      </rPr>
      <t xml:space="preserve"> and numbers </t>
    </r>
    <r>
      <rPr>
        <b/>
        <sz val="11"/>
        <color theme="1"/>
        <rFont val="Calibri"/>
        <family val="2"/>
        <scheme val="minor"/>
      </rPr>
      <t>equal to or greater</t>
    </r>
    <r>
      <rPr>
        <sz val="11"/>
        <color theme="1"/>
        <rFont val="Calibri"/>
        <family val="2"/>
        <scheme val="minor"/>
      </rPr>
      <t xml:space="preserve"> than 20 appear in </t>
    </r>
    <r>
      <rPr>
        <sz val="11"/>
        <color rgb="FF33CC33"/>
        <rFont val="Calibri (Tekst podstawowy)"/>
        <charset val="238"/>
      </rPr>
      <t>green</t>
    </r>
    <r>
      <rPr>
        <sz val="11"/>
        <color theme="1"/>
        <rFont val="Calibri"/>
        <family val="2"/>
        <scheme val="minor"/>
      </rPr>
      <t>.</t>
    </r>
  </si>
  <si>
    <r>
      <t xml:space="preserve">Add conditional formatting so that numbers </t>
    </r>
    <r>
      <rPr>
        <b/>
        <sz val="11"/>
        <color theme="1"/>
        <rFont val="Calibri"/>
        <family val="2"/>
        <scheme val="minor"/>
      </rPr>
      <t>greater than or equal</t>
    </r>
    <r>
      <rPr>
        <sz val="11"/>
        <color theme="1"/>
        <rFont val="Calibri"/>
        <family val="2"/>
        <scheme val="minor"/>
      </rPr>
      <t xml:space="preserve"> to the value in cell A19 display in </t>
    </r>
    <r>
      <rPr>
        <sz val="11"/>
        <color rgb="FF33CC33"/>
        <rFont val="Calibri (Tekst podstawowy)"/>
        <charset val="238"/>
      </rPr>
      <t>green</t>
    </r>
    <r>
      <rPr>
        <sz val="11"/>
        <color theme="1"/>
        <rFont val="Calibri"/>
        <family val="2"/>
        <scheme val="minor"/>
      </rPr>
      <t xml:space="preserve"> and numbers </t>
    </r>
    <r>
      <rPr>
        <b/>
        <sz val="11"/>
        <color theme="1"/>
        <rFont val="Calibri"/>
        <family val="2"/>
        <scheme val="minor"/>
      </rPr>
      <t>less</t>
    </r>
    <r>
      <rPr>
        <sz val="11"/>
        <color theme="1"/>
        <rFont val="Calibri"/>
        <family val="2"/>
        <scheme val="minor"/>
      </rPr>
      <t xml:space="preserve"> than A19 display in </t>
    </r>
    <r>
      <rPr>
        <sz val="11"/>
        <color theme="5"/>
        <rFont val="Calibri (Tekst podstawowy)"/>
        <charset val="238"/>
      </rPr>
      <t>orange</t>
    </r>
    <r>
      <rPr>
        <sz val="11"/>
        <color theme="1"/>
        <rFont val="Calibri"/>
        <family val="2"/>
        <scheme val="minor"/>
      </rPr>
      <t>.</t>
    </r>
  </si>
  <si>
    <t>Task 11 Conditional formatting for top values</t>
  </si>
  <si>
    <r>
      <t xml:space="preserve">Add conditional formatting that highlights the </t>
    </r>
    <r>
      <rPr>
        <b/>
        <sz val="11"/>
        <color theme="1"/>
        <rFont val="Calibri"/>
        <family val="2"/>
        <scheme val="minor"/>
      </rPr>
      <t xml:space="preserve">7 largest </t>
    </r>
    <r>
      <rPr>
        <sz val="11"/>
        <color theme="1"/>
        <rFont val="Calibri"/>
        <family val="2"/>
        <scheme val="minor"/>
      </rPr>
      <t xml:space="preserve">numbers in </t>
    </r>
    <r>
      <rPr>
        <sz val="11"/>
        <color rgb="FF33CC33"/>
        <rFont val="Calibri (Tekst podstawowy)"/>
        <charset val="238"/>
      </rPr>
      <t>green</t>
    </r>
    <r>
      <rPr>
        <sz val="11"/>
        <color theme="1"/>
        <rFont val="Calibri"/>
        <family val="2"/>
        <scheme val="minor"/>
      </rPr>
      <t>.</t>
    </r>
  </si>
  <si>
    <t>Write formulas for the given functions:</t>
  </si>
  <si>
    <t>X value</t>
  </si>
  <si>
    <t>Expected result:</t>
  </si>
  <si>
    <t>Task 12 Calculations</t>
  </si>
  <si>
    <t>Student list</t>
  </si>
  <si>
    <t>Split name, surname and id into separate columns.</t>
  </si>
  <si>
    <t>Paweł</t>
  </si>
  <si>
    <t>Łukasz</t>
  </si>
  <si>
    <t>Dominik</t>
  </si>
  <si>
    <t>Tomasz</t>
  </si>
  <si>
    <t>Jakub</t>
  </si>
  <si>
    <t>Patryk</t>
  </si>
  <si>
    <t>Adrian</t>
  </si>
  <si>
    <t>Szymon</t>
  </si>
  <si>
    <t>Kamil</t>
  </si>
  <si>
    <t>Rafał</t>
  </si>
  <si>
    <t>Sobieraj</t>
  </si>
  <si>
    <t>Ptak</t>
  </si>
  <si>
    <t>Król</t>
  </si>
  <si>
    <t>Gajewski</t>
  </si>
  <si>
    <t>Frączek</t>
  </si>
  <si>
    <t>Mazur</t>
  </si>
  <si>
    <t>Dębski</t>
  </si>
  <si>
    <t>Kosiński</t>
  </si>
  <si>
    <t>Nowicki</t>
  </si>
  <si>
    <t>Kurek</t>
  </si>
  <si>
    <t>s12324</t>
  </si>
  <si>
    <t>s14263</t>
  </si>
  <si>
    <t>s22134</t>
  </si>
  <si>
    <t>s18768</t>
  </si>
  <si>
    <t>s19006</t>
  </si>
  <si>
    <t>s16754</t>
  </si>
  <si>
    <t>s17642</t>
  </si>
  <si>
    <t>s19327</t>
  </si>
  <si>
    <t>s15483</t>
  </si>
  <si>
    <t>s21259</t>
  </si>
  <si>
    <t>s18541</t>
  </si>
  <si>
    <t>s14496</t>
  </si>
  <si>
    <t>s19937</t>
  </si>
  <si>
    <t>s17204</t>
  </si>
  <si>
    <t>s18852</t>
  </si>
  <si>
    <t>s16073</t>
  </si>
  <si>
    <t>Jan</t>
  </si>
  <si>
    <t>Baranowski</t>
  </si>
  <si>
    <t>s15842</t>
  </si>
  <si>
    <t>Piotr</t>
  </si>
  <si>
    <t>Leśniak</t>
  </si>
  <si>
    <t>s19305</t>
  </si>
  <si>
    <t>Konrad</t>
  </si>
  <si>
    <t>Stolarz</t>
  </si>
  <si>
    <t>s18476</t>
  </si>
  <si>
    <t>Artur</t>
  </si>
  <si>
    <t>Wieczorek</t>
  </si>
  <si>
    <t>s17231</t>
  </si>
  <si>
    <t>Damian</t>
  </si>
  <si>
    <t>Nowakowski</t>
  </si>
  <si>
    <t>s16720</t>
  </si>
  <si>
    <t>Sebastian</t>
  </si>
  <si>
    <t>Kruk</t>
  </si>
  <si>
    <t>s19047</t>
  </si>
  <si>
    <t>Norbert</t>
  </si>
  <si>
    <t>Marciniak</t>
  </si>
  <si>
    <t>s14452</t>
  </si>
  <si>
    <t>Wojciech</t>
  </si>
  <si>
    <t>Kołodziej</t>
  </si>
  <si>
    <t>s21389</t>
  </si>
  <si>
    <t>Igor</t>
  </si>
  <si>
    <t>Szymczak</t>
  </si>
  <si>
    <t>s19958</t>
  </si>
  <si>
    <t>Bartłomiej</t>
  </si>
  <si>
    <t>Orzechowski</t>
  </si>
  <si>
    <t>s18594</t>
  </si>
  <si>
    <t>Emil</t>
  </si>
  <si>
    <t>Adamczyk</t>
  </si>
  <si>
    <t>s17683</t>
  </si>
  <si>
    <t>Maciej</t>
  </si>
  <si>
    <t>Grochowski</t>
  </si>
  <si>
    <t>s15412</t>
  </si>
  <si>
    <t>Dawid</t>
  </si>
  <si>
    <t>Walczak</t>
  </si>
  <si>
    <t>s18865</t>
  </si>
  <si>
    <t>Cezary</t>
  </si>
  <si>
    <t>Błaszczyk</t>
  </si>
  <si>
    <t>s16239</t>
  </si>
  <si>
    <t>Filip</t>
  </si>
  <si>
    <t>Chmiel</t>
  </si>
  <si>
    <t>s17850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</si>
</sst>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+48 &quot;###&quot;-&quot;###&quot;-&quot;###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 (Tekst podstawowy)"/>
      <charset val="238"/>
    </font>
    <font>
      <sz val="11"/>
      <color rgb="FF33CC33"/>
      <name val="Calibri (Tekst podstawowy)"/>
      <charset val="238"/>
    </font>
    <font>
      <sz val="11"/>
      <color theme="5"/>
      <name val="Calibri (Tekst podstawowy)"/>
      <charset val="238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4" borderId="3" xfId="0" applyFill="1" applyBorder="1" applyAlignment="1">
      <alignment horizontal="centerContinuous" vertical="center"/>
    </xf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 applyAlignment="1">
      <alignment horizontal="centerContinuous"/>
    </xf>
    <xf numFmtId="0" fontId="0" fillId="4" borderId="6" xfId="0" applyFill="1" applyBorder="1" applyAlignment="1">
      <alignment horizontal="centerContinuous"/>
    </xf>
    <xf numFmtId="12" fontId="0" fillId="0" borderId="0" xfId="0" applyNumberFormat="1"/>
    <xf numFmtId="0" fontId="0" fillId="4" borderId="4" xfId="0" applyFill="1" applyBorder="1" applyAlignment="1">
      <alignment horizontal="center"/>
    </xf>
    <xf numFmtId="0" fontId="0" fillId="3" borderId="7" xfId="0" applyFill="1" applyBorder="1"/>
    <xf numFmtId="0" fontId="0" fillId="0" borderId="2" xfId="0" applyBorder="1" applyAlignment="1">
      <alignment horizontal="center"/>
    </xf>
    <xf numFmtId="0" fontId="0" fillId="4" borderId="8" xfId="0" applyFill="1" applyBorder="1" applyAlignment="1">
      <alignment horizontal="centerContinuous" vertic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" fillId="0" borderId="0" xfId="0" applyFont="1"/>
    <xf numFmtId="0" fontId="0" fillId="5" borderId="4" xfId="0" applyFill="1" applyBorder="1"/>
    <xf numFmtId="0" fontId="0" fillId="3" borderId="14" xfId="0" applyFill="1" applyBorder="1"/>
    <xf numFmtId="0" fontId="0" fillId="0" borderId="10" xfId="0" applyBorder="1"/>
    <xf numFmtId="0" fontId="0" fillId="6" borderId="4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0" borderId="15" xfId="0" applyBorder="1"/>
    <xf numFmtId="0" fontId="0" fillId="0" borderId="16" xfId="0" applyBorder="1"/>
    <xf numFmtId="0" fontId="2" fillId="2" borderId="0" xfId="0" applyFont="1" applyFill="1"/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2" xfId="0" applyFill="1" applyBorder="1" applyAlignment="1">
      <alignment horizontal="center"/>
    </xf>
    <xf numFmtId="1" fontId="0" fillId="8" borderId="4" xfId="0" applyNumberFormat="1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0" borderId="13" xfId="0" applyBorder="1" applyAlignment="1"/>
    <xf numFmtId="0" fontId="0" fillId="0" borderId="0" xfId="0" applyBorder="1"/>
    <xf numFmtId="0" fontId="1" fillId="2" borderId="0" xfId="0" applyFont="1" applyFill="1" applyAlignment="1">
      <alignment horizontal="left"/>
    </xf>
    <xf numFmtId="0" fontId="0" fillId="7" borderId="0" xfId="0" applyFill="1" applyAlignment="1">
      <alignment horizontal="left" wrapText="1"/>
    </xf>
    <xf numFmtId="0" fontId="0" fillId="7" borderId="0" xfId="0" applyFill="1" applyAlignment="1">
      <alignment horizontal="left"/>
    </xf>
    <xf numFmtId="0" fontId="0" fillId="7" borderId="17" xfId="0" applyFill="1" applyBorder="1" applyAlignment="1">
      <alignment horizontal="left" wrapText="1"/>
    </xf>
    <xf numFmtId="0" fontId="0" fillId="4" borderId="5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2" fillId="0" borderId="0" xfId="0" applyFont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33CC33"/>
      <color rgb="FF99FF99"/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80962</xdr:rowOff>
    </xdr:from>
    <xdr:to>
      <xdr:col>0</xdr:col>
      <xdr:colOff>671513</xdr:colOff>
      <xdr:row>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D1C9E4-2CBF-471F-86B9-B62E451D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04862"/>
          <a:ext cx="423863" cy="395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185738</xdr:colOff>
      <xdr:row>6</xdr:row>
      <xdr:rowOff>66675</xdr:rowOff>
    </xdr:from>
    <xdr:to>
      <xdr:col>1</xdr:col>
      <xdr:colOff>261938</xdr:colOff>
      <xdr:row>8</xdr:row>
      <xdr:rowOff>128588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15AA19-E02D-7C3A-7246-97FFA5A8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8" y="1333500"/>
          <a:ext cx="81915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176212</xdr:colOff>
      <xdr:row>9</xdr:row>
      <xdr:rowOff>0</xdr:rowOff>
    </xdr:from>
    <xdr:to>
      <xdr:col>1</xdr:col>
      <xdr:colOff>57150</xdr:colOff>
      <xdr:row>10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DCD30B-9C6B-7DD3-A61D-E8135F8B6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" y="1976437"/>
          <a:ext cx="623888" cy="233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10</xdr:row>
      <xdr:rowOff>161925</xdr:rowOff>
    </xdr:from>
    <xdr:to>
      <xdr:col>1</xdr:col>
      <xdr:colOff>333376</xdr:colOff>
      <xdr:row>12</xdr:row>
      <xdr:rowOff>33338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077739-F3E5-0965-D370-A0D0D8958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333625"/>
          <a:ext cx="895351" cy="233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9523</xdr:colOff>
      <xdr:row>2</xdr:row>
      <xdr:rowOff>169766</xdr:rowOff>
    </xdr:from>
    <xdr:to>
      <xdr:col>13</xdr:col>
      <xdr:colOff>46333</xdr:colOff>
      <xdr:row>12</xdr:row>
      <xdr:rowOff>38099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333F0DF-D94C-349E-1C1F-D4A2C4EBB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19711" y="712691"/>
          <a:ext cx="3299122" cy="1678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showGridLines="0" zoomScale="130" zoomScaleNormal="130" workbookViewId="0">
      <selection activeCell="L17" sqref="L17"/>
    </sheetView>
  </sheetViews>
  <sheetFormatPr defaultColWidth="9.140625" defaultRowHeight="15"/>
  <cols>
    <col min="1" max="1" width="10.42578125" customWidth="1"/>
    <col min="8" max="8" width="10.28515625" customWidth="1"/>
    <col min="10" max="10" width="12.85546875" customWidth="1"/>
    <col min="11" max="11" width="9.5703125" customWidth="1"/>
    <col min="12" max="12" width="18" customWidth="1"/>
    <col min="14" max="14" width="9.7109375" customWidth="1"/>
  </cols>
  <sheetData>
    <row r="1" spans="1:18">
      <c r="A1" s="40" t="s">
        <v>86</v>
      </c>
      <c r="B1" s="40"/>
      <c r="C1" s="40"/>
      <c r="D1" s="40"/>
      <c r="E1" s="40"/>
      <c r="F1" s="40"/>
      <c r="G1" s="40"/>
      <c r="J1" s="40" t="s">
        <v>88</v>
      </c>
      <c r="K1" s="40"/>
      <c r="L1" s="40"/>
      <c r="M1" s="40"/>
      <c r="N1" s="40"/>
    </row>
    <row r="2" spans="1:18" ht="14.25" customHeight="1">
      <c r="A2" s="42" t="s">
        <v>70</v>
      </c>
      <c r="B2" s="42"/>
      <c r="C2" s="42"/>
      <c r="D2" s="42"/>
      <c r="E2" s="42"/>
      <c r="F2" s="42"/>
      <c r="G2" s="42"/>
      <c r="J2" s="41" t="s">
        <v>71</v>
      </c>
      <c r="K2" s="41"/>
      <c r="L2" s="41"/>
      <c r="M2" s="41"/>
      <c r="N2" s="41"/>
      <c r="O2" s="22"/>
      <c r="P2" s="22"/>
      <c r="Q2" s="22"/>
      <c r="R2" s="22"/>
    </row>
    <row r="3" spans="1:18">
      <c r="J3" s="41"/>
      <c r="K3" s="41"/>
      <c r="L3" s="41"/>
      <c r="M3" s="41"/>
      <c r="N3" s="41"/>
      <c r="O3" s="22"/>
      <c r="P3" s="22"/>
      <c r="Q3" s="22"/>
      <c r="R3" s="22"/>
    </row>
    <row r="4" spans="1:18">
      <c r="A4" s="3" t="s">
        <v>0</v>
      </c>
      <c r="B4" s="3"/>
      <c r="C4" s="3"/>
      <c r="D4" s="3"/>
      <c r="E4" s="3"/>
      <c r="F4" s="3"/>
      <c r="G4" s="3"/>
      <c r="H4" s="12"/>
    </row>
    <row r="5" spans="1:18">
      <c r="A5" s="4" t="s">
        <v>7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5" t="s">
        <v>62</v>
      </c>
      <c r="J5" s="6" t="s">
        <v>64</v>
      </c>
      <c r="K5" s="7"/>
    </row>
    <row r="6" spans="1:18">
      <c r="A6" s="2" t="s">
        <v>1</v>
      </c>
      <c r="B6" s="11">
        <v>2</v>
      </c>
      <c r="C6" s="11">
        <v>2</v>
      </c>
      <c r="D6" s="11">
        <v>4</v>
      </c>
      <c r="E6" s="11">
        <v>5</v>
      </c>
      <c r="F6" s="11">
        <v>3</v>
      </c>
      <c r="G6" s="11">
        <v>1</v>
      </c>
      <c r="H6" s="32">
        <f>SUM(B6:G6)</f>
        <v>17</v>
      </c>
      <c r="J6" s="5" t="s">
        <v>65</v>
      </c>
      <c r="K6" s="33">
        <f>AVERAGE(H6:H11)</f>
        <v>13</v>
      </c>
    </row>
    <row r="7" spans="1:18">
      <c r="A7" s="1" t="s">
        <v>2</v>
      </c>
      <c r="B7" s="13">
        <v>1</v>
      </c>
      <c r="C7" s="13">
        <v>2</v>
      </c>
      <c r="D7" s="13">
        <v>1</v>
      </c>
      <c r="E7" s="13">
        <v>2</v>
      </c>
      <c r="F7" s="13">
        <v>1</v>
      </c>
      <c r="G7" s="13">
        <v>3</v>
      </c>
      <c r="H7" s="32">
        <f>SUM(B7:G7)</f>
        <v>10</v>
      </c>
      <c r="J7" s="5" t="s">
        <v>66</v>
      </c>
      <c r="K7" s="34">
        <f>MIN(H6:H11)</f>
        <v>10</v>
      </c>
    </row>
    <row r="8" spans="1:18">
      <c r="A8" s="1" t="s">
        <v>3</v>
      </c>
      <c r="B8" s="13">
        <v>1</v>
      </c>
      <c r="C8" s="13">
        <v>4</v>
      </c>
      <c r="D8" s="13">
        <v>2</v>
      </c>
      <c r="E8" s="13">
        <v>1</v>
      </c>
      <c r="F8" s="13">
        <v>1</v>
      </c>
      <c r="G8" s="13">
        <v>3</v>
      </c>
      <c r="H8" s="32">
        <f t="shared" ref="H8:H11" si="0">SUM(B8:G8)</f>
        <v>12</v>
      </c>
      <c r="J8" s="5" t="s">
        <v>67</v>
      </c>
      <c r="K8" s="34">
        <f>MAX(H6:H11)</f>
        <v>17</v>
      </c>
    </row>
    <row r="9" spans="1:18">
      <c r="A9" s="1" t="s">
        <v>4</v>
      </c>
      <c r="B9" s="13">
        <v>1</v>
      </c>
      <c r="C9" s="13">
        <v>3</v>
      </c>
      <c r="D9" s="13">
        <v>3</v>
      </c>
      <c r="E9" s="13">
        <v>3</v>
      </c>
      <c r="F9" s="13">
        <v>2</v>
      </c>
      <c r="G9" s="13">
        <v>3</v>
      </c>
      <c r="H9" s="32">
        <f t="shared" si="0"/>
        <v>15</v>
      </c>
    </row>
    <row r="10" spans="1:18">
      <c r="A10" s="1" t="s">
        <v>5</v>
      </c>
      <c r="B10" s="13">
        <v>1</v>
      </c>
      <c r="C10" s="13">
        <v>2</v>
      </c>
      <c r="D10" s="13">
        <v>2</v>
      </c>
      <c r="E10" s="13">
        <v>1</v>
      </c>
      <c r="F10" s="13">
        <v>3</v>
      </c>
      <c r="G10" s="13">
        <v>2</v>
      </c>
      <c r="H10" s="32">
        <f t="shared" si="0"/>
        <v>11</v>
      </c>
    </row>
    <row r="11" spans="1:18">
      <c r="A11" s="1" t="s">
        <v>6</v>
      </c>
      <c r="B11" s="13">
        <v>2</v>
      </c>
      <c r="C11" s="13">
        <v>1</v>
      </c>
      <c r="D11" s="13">
        <v>3</v>
      </c>
      <c r="E11" s="13">
        <v>3</v>
      </c>
      <c r="F11" s="13">
        <v>3</v>
      </c>
      <c r="G11" s="13">
        <v>1</v>
      </c>
      <c r="H11" s="32">
        <f t="shared" si="0"/>
        <v>13</v>
      </c>
    </row>
    <row r="13" spans="1:18">
      <c r="A13" s="40" t="s">
        <v>87</v>
      </c>
      <c r="B13" s="40"/>
      <c r="C13" s="40"/>
      <c r="D13" s="24"/>
      <c r="E13" s="24"/>
      <c r="F13" s="24"/>
      <c r="J13" s="40" t="s">
        <v>89</v>
      </c>
      <c r="K13" s="40"/>
      <c r="L13" s="40"/>
      <c r="M13" s="40"/>
      <c r="N13" s="40"/>
    </row>
    <row r="14" spans="1:18" ht="14.25" customHeight="1">
      <c r="A14" s="41" t="s">
        <v>63</v>
      </c>
      <c r="B14" s="41"/>
      <c r="C14" s="41"/>
      <c r="D14" s="41"/>
      <c r="E14" s="41"/>
      <c r="F14" s="41"/>
      <c r="J14" s="42" t="s">
        <v>68</v>
      </c>
      <c r="K14" s="42"/>
      <c r="L14" s="42"/>
      <c r="M14" s="42"/>
      <c r="N14" s="42"/>
    </row>
    <row r="15" spans="1:18">
      <c r="A15" s="41"/>
      <c r="B15" s="41"/>
      <c r="C15" s="41"/>
      <c r="D15" s="41"/>
      <c r="E15" s="41"/>
      <c r="F15" s="41"/>
    </row>
    <row r="16" spans="1:18">
      <c r="J16" s="4" t="s">
        <v>7</v>
      </c>
      <c r="K16" s="10" t="s">
        <v>8</v>
      </c>
      <c r="L16" s="5" t="s">
        <v>69</v>
      </c>
    </row>
    <row r="17" spans="1:12">
      <c r="A17" s="9" t="s">
        <v>55</v>
      </c>
      <c r="B17" s="49">
        <v>0.17</v>
      </c>
      <c r="J17" s="2" t="s">
        <v>1</v>
      </c>
      <c r="K17" s="25" t="s">
        <v>9</v>
      </c>
      <c r="L17" s="35" t="str">
        <f>_xlfn.CONCAT(J17, " ", K17)</f>
        <v>Mateusz Kawiecki</v>
      </c>
    </row>
    <row r="18" spans="1:12">
      <c r="A18" s="5">
        <v>10</v>
      </c>
      <c r="B18" s="34">
        <f>A18*$B$17</f>
        <v>1.7000000000000002</v>
      </c>
      <c r="J18" s="1" t="s">
        <v>2</v>
      </c>
      <c r="K18" s="26" t="s">
        <v>10</v>
      </c>
      <c r="L18" s="35" t="str">
        <f t="shared" ref="L18:L22" si="1">_xlfn.CONCAT(J18, " ", K18)</f>
        <v>Krzysztof Korzen</v>
      </c>
    </row>
    <row r="19" spans="1:12">
      <c r="A19" s="5">
        <v>12</v>
      </c>
      <c r="B19" s="34">
        <f t="shared" ref="B19:B25" si="2">A19*$B$17</f>
        <v>2.04</v>
      </c>
      <c r="J19" s="1" t="s">
        <v>3</v>
      </c>
      <c r="K19" s="26" t="s">
        <v>11</v>
      </c>
      <c r="L19" s="35" t="str">
        <f t="shared" si="1"/>
        <v>Grzegorz Fuks</v>
      </c>
    </row>
    <row r="20" spans="1:12">
      <c r="A20" s="5">
        <v>14</v>
      </c>
      <c r="B20" s="34">
        <f t="shared" si="2"/>
        <v>2.3800000000000003</v>
      </c>
      <c r="J20" s="1" t="s">
        <v>4</v>
      </c>
      <c r="K20" s="26" t="s">
        <v>12</v>
      </c>
      <c r="L20" s="35" t="str">
        <f t="shared" si="1"/>
        <v>Olek Cyran</v>
      </c>
    </row>
    <row r="21" spans="1:12">
      <c r="A21" s="5">
        <v>16</v>
      </c>
      <c r="B21" s="34">
        <f t="shared" si="2"/>
        <v>2.72</v>
      </c>
      <c r="J21" s="1" t="s">
        <v>5</v>
      </c>
      <c r="K21" s="26" t="s">
        <v>6</v>
      </c>
      <c r="L21" s="35" t="str">
        <f t="shared" si="1"/>
        <v>Michał Jarek</v>
      </c>
    </row>
    <row r="22" spans="1:12">
      <c r="A22" s="5">
        <v>18</v>
      </c>
      <c r="B22" s="34">
        <f t="shared" si="2"/>
        <v>3.06</v>
      </c>
      <c r="J22" s="1" t="s">
        <v>5</v>
      </c>
      <c r="K22" s="26" t="s">
        <v>13</v>
      </c>
      <c r="L22" s="35" t="str">
        <f t="shared" si="1"/>
        <v>Michał Laskowski</v>
      </c>
    </row>
    <row r="23" spans="1:12">
      <c r="A23" s="5">
        <v>20</v>
      </c>
      <c r="B23" s="34">
        <f t="shared" si="2"/>
        <v>3.4000000000000004</v>
      </c>
    </row>
    <row r="24" spans="1:12">
      <c r="A24" s="5">
        <v>22</v>
      </c>
      <c r="B24" s="34">
        <f t="shared" si="2"/>
        <v>3.74</v>
      </c>
    </row>
    <row r="25" spans="1:12">
      <c r="A25" s="5">
        <v>24</v>
      </c>
      <c r="B25" s="34">
        <f t="shared" si="2"/>
        <v>4.08</v>
      </c>
    </row>
  </sheetData>
  <mergeCells count="8">
    <mergeCell ref="J1:N1"/>
    <mergeCell ref="A13:C13"/>
    <mergeCell ref="A14:F15"/>
    <mergeCell ref="J13:N13"/>
    <mergeCell ref="J14:N14"/>
    <mergeCell ref="J2:N3"/>
    <mergeCell ref="A2:G2"/>
    <mergeCell ref="A1:G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A294-123D-4867-8CED-0D0BA7C4EB36}">
  <dimension ref="A1:H21"/>
  <sheetViews>
    <sheetView showGridLines="0" zoomScaleNormal="100" workbookViewId="0">
      <selection activeCell="J15" sqref="J15"/>
    </sheetView>
  </sheetViews>
  <sheetFormatPr defaultColWidth="9.140625" defaultRowHeight="15"/>
  <cols>
    <col min="1" max="1" width="25.28515625" customWidth="1"/>
    <col min="3" max="3" width="12.28515625" customWidth="1"/>
    <col min="6" max="6" width="8.85546875" customWidth="1"/>
    <col min="7" max="7" width="10.28515625" customWidth="1"/>
    <col min="8" max="8" width="39.5703125" customWidth="1"/>
    <col min="9" max="28" width="8.85546875" customWidth="1"/>
  </cols>
  <sheetData>
    <row r="1" spans="1:8">
      <c r="A1" s="40" t="s">
        <v>73</v>
      </c>
      <c r="B1" s="40"/>
      <c r="C1" s="40"/>
      <c r="D1" s="40"/>
      <c r="E1" s="40"/>
      <c r="F1" s="40"/>
    </row>
    <row r="2" spans="1:8" ht="14.25" customHeight="1">
      <c r="A2" s="42" t="s">
        <v>72</v>
      </c>
      <c r="B2" s="42"/>
      <c r="C2" s="42"/>
      <c r="D2" s="42"/>
      <c r="E2" s="42"/>
      <c r="F2" s="42"/>
    </row>
    <row r="3" spans="1:8" ht="14.25" customHeight="1">
      <c r="G3" s="41" t="s">
        <v>77</v>
      </c>
      <c r="H3" s="41"/>
    </row>
    <row r="4" spans="1:8">
      <c r="A4" s="42" t="s">
        <v>100</v>
      </c>
      <c r="B4" s="42"/>
      <c r="C4" s="42"/>
      <c r="D4" s="42"/>
      <c r="G4" s="43"/>
      <c r="H4" s="43"/>
    </row>
    <row r="5" spans="1:8">
      <c r="A5" s="37" t="s">
        <v>74</v>
      </c>
      <c r="B5" s="4" t="s">
        <v>7</v>
      </c>
      <c r="C5" s="10" t="s">
        <v>8</v>
      </c>
      <c r="D5" s="5" t="s">
        <v>75</v>
      </c>
      <c r="G5" s="4" t="s">
        <v>55</v>
      </c>
      <c r="H5" s="28" t="s">
        <v>76</v>
      </c>
    </row>
    <row r="6" spans="1:8">
      <c r="A6" s="38" t="s">
        <v>23</v>
      </c>
      <c r="B6" s="2" t="s">
        <v>1</v>
      </c>
      <c r="C6" s="2" t="s">
        <v>9</v>
      </c>
      <c r="D6" s="2" t="s">
        <v>121</v>
      </c>
      <c r="G6" s="11">
        <v>657384231</v>
      </c>
      <c r="H6" s="50">
        <v>657384231</v>
      </c>
    </row>
    <row r="7" spans="1:8">
      <c r="A7" s="38" t="s">
        <v>24</v>
      </c>
      <c r="B7" s="1" t="s">
        <v>2</v>
      </c>
      <c r="C7" s="1" t="s">
        <v>10</v>
      </c>
      <c r="D7" s="2" t="s">
        <v>122</v>
      </c>
      <c r="E7" s="39"/>
      <c r="G7" s="13">
        <v>423534322</v>
      </c>
      <c r="H7" s="51">
        <v>423534322</v>
      </c>
    </row>
    <row r="8" spans="1:8">
      <c r="A8" s="38" t="s">
        <v>25</v>
      </c>
      <c r="B8" s="1" t="s">
        <v>3</v>
      </c>
      <c r="C8" s="1" t="s">
        <v>11</v>
      </c>
      <c r="D8" s="2" t="s">
        <v>123</v>
      </c>
      <c r="E8" s="39"/>
      <c r="G8" s="13">
        <v>123242453</v>
      </c>
      <c r="H8" s="51">
        <v>123242453</v>
      </c>
    </row>
    <row r="9" spans="1:8">
      <c r="A9" s="38" t="s">
        <v>26</v>
      </c>
      <c r="B9" s="1" t="s">
        <v>4</v>
      </c>
      <c r="C9" s="1" t="s">
        <v>12</v>
      </c>
      <c r="D9" s="2" t="s">
        <v>124</v>
      </c>
      <c r="E9" s="39"/>
      <c r="G9" s="13">
        <v>232434223</v>
      </c>
      <c r="H9" s="51">
        <v>232434223</v>
      </c>
    </row>
    <row r="10" spans="1:8">
      <c r="A10" s="38" t="s">
        <v>27</v>
      </c>
      <c r="B10" s="1" t="s">
        <v>5</v>
      </c>
      <c r="C10" s="1" t="s">
        <v>6</v>
      </c>
      <c r="D10" s="2" t="s">
        <v>125</v>
      </c>
      <c r="E10" s="39"/>
      <c r="G10" s="13">
        <v>645353632</v>
      </c>
      <c r="H10" s="51">
        <v>645353632</v>
      </c>
    </row>
    <row r="11" spans="1:8">
      <c r="A11" s="38" t="s">
        <v>28</v>
      </c>
      <c r="B11" s="1" t="s">
        <v>5</v>
      </c>
      <c r="C11" s="1" t="s">
        <v>13</v>
      </c>
      <c r="D11" s="2" t="s">
        <v>126</v>
      </c>
      <c r="E11" s="39"/>
      <c r="G11" s="13">
        <v>533422324</v>
      </c>
      <c r="H11" s="51">
        <v>533422324</v>
      </c>
    </row>
    <row r="12" spans="1:8">
      <c r="A12" s="38" t="s">
        <v>29</v>
      </c>
      <c r="B12" s="2" t="s">
        <v>101</v>
      </c>
      <c r="C12" s="2" t="s">
        <v>111</v>
      </c>
      <c r="D12" s="2" t="s">
        <v>127</v>
      </c>
      <c r="E12" s="39"/>
      <c r="G12" s="11">
        <v>564334567</v>
      </c>
      <c r="H12" s="50">
        <v>564334567</v>
      </c>
    </row>
    <row r="13" spans="1:8">
      <c r="A13" s="38" t="s">
        <v>30</v>
      </c>
      <c r="B13" s="1" t="s">
        <v>102</v>
      </c>
      <c r="C13" s="1" t="s">
        <v>112</v>
      </c>
      <c r="D13" s="2" t="s">
        <v>128</v>
      </c>
      <c r="E13" s="39"/>
      <c r="G13" s="13">
        <v>343232323</v>
      </c>
      <c r="H13" s="51">
        <v>343232323</v>
      </c>
    </row>
    <row r="14" spans="1:8">
      <c r="A14" s="38" t="s">
        <v>31</v>
      </c>
      <c r="B14" s="1" t="s">
        <v>103</v>
      </c>
      <c r="C14" s="1" t="s">
        <v>113</v>
      </c>
      <c r="D14" s="2" t="s">
        <v>129</v>
      </c>
      <c r="E14" s="39"/>
      <c r="G14" s="13">
        <v>423232322</v>
      </c>
      <c r="H14" s="51">
        <v>423232322</v>
      </c>
    </row>
    <row r="15" spans="1:8">
      <c r="A15" s="38" t="s">
        <v>32</v>
      </c>
      <c r="B15" s="1" t="s">
        <v>104</v>
      </c>
      <c r="C15" s="1" t="s">
        <v>114</v>
      </c>
      <c r="D15" s="2" t="s">
        <v>130</v>
      </c>
      <c r="E15" s="39"/>
      <c r="G15" s="13">
        <v>768675434</v>
      </c>
      <c r="H15" s="51">
        <v>768675434</v>
      </c>
    </row>
    <row r="16" spans="1:8">
      <c r="A16" s="38" t="s">
        <v>33</v>
      </c>
      <c r="B16" s="1" t="s">
        <v>105</v>
      </c>
      <c r="C16" s="1" t="s">
        <v>115</v>
      </c>
      <c r="D16" s="2" t="s">
        <v>131</v>
      </c>
      <c r="E16" s="39"/>
      <c r="G16" s="13">
        <v>435678765</v>
      </c>
      <c r="H16" s="51">
        <v>435678765</v>
      </c>
    </row>
    <row r="17" spans="1:8">
      <c r="A17" s="38" t="s">
        <v>34</v>
      </c>
      <c r="B17" s="1" t="s">
        <v>106</v>
      </c>
      <c r="C17" s="1" t="s">
        <v>116</v>
      </c>
      <c r="D17" s="2" t="s">
        <v>132</v>
      </c>
      <c r="E17" s="39"/>
      <c r="G17" s="13">
        <v>231345642</v>
      </c>
      <c r="H17" s="51">
        <v>231345642</v>
      </c>
    </row>
    <row r="18" spans="1:8">
      <c r="A18" s="38" t="s">
        <v>35</v>
      </c>
      <c r="B18" s="2" t="s">
        <v>107</v>
      </c>
      <c r="C18" s="2" t="s">
        <v>117</v>
      </c>
      <c r="D18" s="2" t="s">
        <v>133</v>
      </c>
      <c r="E18" s="39"/>
      <c r="G18" s="13">
        <v>644323562</v>
      </c>
      <c r="H18" s="51">
        <v>644323562</v>
      </c>
    </row>
    <row r="19" spans="1:8">
      <c r="A19" s="38" t="s">
        <v>36</v>
      </c>
      <c r="B19" s="1" t="s">
        <v>108</v>
      </c>
      <c r="C19" s="1" t="s">
        <v>118</v>
      </c>
      <c r="D19" s="2" t="s">
        <v>134</v>
      </c>
      <c r="E19" s="39"/>
      <c r="G19" s="13">
        <v>764534266</v>
      </c>
      <c r="H19" s="51">
        <v>764534266</v>
      </c>
    </row>
    <row r="20" spans="1:8">
      <c r="A20" s="38" t="s">
        <v>37</v>
      </c>
      <c r="B20" s="1" t="s">
        <v>109</v>
      </c>
      <c r="C20" s="1" t="s">
        <v>119</v>
      </c>
      <c r="D20" s="2" t="s">
        <v>135</v>
      </c>
      <c r="E20" s="39"/>
      <c r="G20" s="13">
        <v>867756434</v>
      </c>
      <c r="H20" s="51">
        <v>867756434</v>
      </c>
    </row>
    <row r="21" spans="1:8">
      <c r="A21" s="38" t="s">
        <v>38</v>
      </c>
      <c r="B21" s="1" t="s">
        <v>110</v>
      </c>
      <c r="C21" s="1" t="s">
        <v>120</v>
      </c>
      <c r="D21" s="2" t="s">
        <v>136</v>
      </c>
      <c r="E21" s="39"/>
      <c r="G21" s="13">
        <v>465632786</v>
      </c>
      <c r="H21" s="51">
        <v>465632786</v>
      </c>
    </row>
  </sheetData>
  <mergeCells count="4">
    <mergeCell ref="A4:D4"/>
    <mergeCell ref="A2:F2"/>
    <mergeCell ref="A1:F1"/>
    <mergeCell ref="G3:H4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2457-4843-468B-8F29-8E925B40CDCB}">
  <dimension ref="A1:M20"/>
  <sheetViews>
    <sheetView showGridLines="0" zoomScaleNormal="100" workbookViewId="0">
      <selection activeCell="Q13" sqref="Q13"/>
    </sheetView>
  </sheetViews>
  <sheetFormatPr defaultColWidth="9.140625" defaultRowHeight="15"/>
  <cols>
    <col min="1" max="13" width="6.140625" customWidth="1"/>
    <col min="14" max="28" width="8.28515625" customWidth="1"/>
  </cols>
  <sheetData>
    <row r="1" spans="1:13">
      <c r="A1" s="40" t="s">
        <v>78</v>
      </c>
      <c r="B1" s="40"/>
      <c r="C1" s="40"/>
      <c r="D1" s="40"/>
      <c r="E1" s="40"/>
      <c r="F1" s="40"/>
      <c r="G1" s="40"/>
    </row>
    <row r="2" spans="1:13" ht="14.25" customHeight="1">
      <c r="A2" s="41" t="s">
        <v>79</v>
      </c>
      <c r="B2" s="41"/>
      <c r="C2" s="41"/>
      <c r="D2" s="41"/>
      <c r="E2" s="41"/>
      <c r="F2" s="41"/>
      <c r="G2" s="41"/>
    </row>
    <row r="3" spans="1:13" ht="14.25" customHeight="1"/>
    <row r="4" spans="1:13">
      <c r="A4" s="28" t="s">
        <v>54</v>
      </c>
      <c r="B4" s="30">
        <v>1</v>
      </c>
      <c r="C4" s="30">
        <v>2</v>
      </c>
      <c r="D4" s="30">
        <v>3</v>
      </c>
      <c r="E4" s="30">
        <v>4</v>
      </c>
      <c r="F4" s="30">
        <v>5</v>
      </c>
      <c r="G4" s="30">
        <v>6</v>
      </c>
      <c r="H4" s="30">
        <v>7</v>
      </c>
      <c r="I4" s="30">
        <v>8</v>
      </c>
      <c r="J4" s="30">
        <v>9</v>
      </c>
      <c r="K4" s="30">
        <v>10</v>
      </c>
      <c r="L4" s="30">
        <v>11</v>
      </c>
      <c r="M4" s="30">
        <v>12</v>
      </c>
    </row>
    <row r="5" spans="1:13">
      <c r="A5" s="29">
        <v>1</v>
      </c>
      <c r="B5" s="31">
        <f>$A5*B$4</f>
        <v>1</v>
      </c>
      <c r="C5" s="31">
        <f>$A5*C$4</f>
        <v>2</v>
      </c>
      <c r="D5" s="31">
        <f>$A5*D$4</f>
        <v>3</v>
      </c>
      <c r="E5" s="31">
        <f t="shared" ref="E5:M20" si="0">$A5*E$4</f>
        <v>4</v>
      </c>
      <c r="F5" s="31">
        <f t="shared" si="0"/>
        <v>5</v>
      </c>
      <c r="G5" s="31">
        <f t="shared" si="0"/>
        <v>6</v>
      </c>
      <c r="H5" s="31">
        <f t="shared" si="0"/>
        <v>7</v>
      </c>
      <c r="I5" s="31">
        <f t="shared" si="0"/>
        <v>8</v>
      </c>
      <c r="J5" s="31">
        <f t="shared" si="0"/>
        <v>9</v>
      </c>
      <c r="K5" s="31">
        <f t="shared" si="0"/>
        <v>10</v>
      </c>
      <c r="L5" s="31">
        <f t="shared" si="0"/>
        <v>11</v>
      </c>
      <c r="M5" s="31">
        <f t="shared" si="0"/>
        <v>12</v>
      </c>
    </row>
    <row r="6" spans="1:13">
      <c r="A6" s="29">
        <v>2</v>
      </c>
      <c r="B6" s="31">
        <f t="shared" ref="B6:C20" si="1">$A6*B$4</f>
        <v>2</v>
      </c>
      <c r="C6" s="31">
        <f t="shared" si="1"/>
        <v>4</v>
      </c>
      <c r="D6" s="31">
        <f t="shared" ref="D6:D20" si="2">$A6*D$4</f>
        <v>6</v>
      </c>
      <c r="E6" s="31">
        <f t="shared" si="0"/>
        <v>8</v>
      </c>
      <c r="F6" s="31">
        <f t="shared" si="0"/>
        <v>10</v>
      </c>
      <c r="G6" s="31">
        <f t="shared" si="0"/>
        <v>12</v>
      </c>
      <c r="H6" s="31">
        <f t="shared" si="0"/>
        <v>14</v>
      </c>
      <c r="I6" s="31">
        <f t="shared" si="0"/>
        <v>16</v>
      </c>
      <c r="J6" s="31">
        <f t="shared" si="0"/>
        <v>18</v>
      </c>
      <c r="K6" s="31">
        <f t="shared" si="0"/>
        <v>20</v>
      </c>
      <c r="L6" s="31">
        <f t="shared" si="0"/>
        <v>22</v>
      </c>
      <c r="M6" s="31">
        <f t="shared" si="0"/>
        <v>24</v>
      </c>
    </row>
    <row r="7" spans="1:13">
      <c r="A7" s="29">
        <v>3</v>
      </c>
      <c r="B7" s="31">
        <f t="shared" si="1"/>
        <v>3</v>
      </c>
      <c r="C7" s="31">
        <f t="shared" si="1"/>
        <v>6</v>
      </c>
      <c r="D7" s="31">
        <f t="shared" si="2"/>
        <v>9</v>
      </c>
      <c r="E7" s="31">
        <f t="shared" si="0"/>
        <v>12</v>
      </c>
      <c r="F7" s="31">
        <f t="shared" si="0"/>
        <v>15</v>
      </c>
      <c r="G7" s="31">
        <f t="shared" si="0"/>
        <v>18</v>
      </c>
      <c r="H7" s="31">
        <f t="shared" si="0"/>
        <v>21</v>
      </c>
      <c r="I7" s="31">
        <f t="shared" si="0"/>
        <v>24</v>
      </c>
      <c r="J7" s="31">
        <f t="shared" si="0"/>
        <v>27</v>
      </c>
      <c r="K7" s="31">
        <f t="shared" si="0"/>
        <v>30</v>
      </c>
      <c r="L7" s="31">
        <f t="shared" si="0"/>
        <v>33</v>
      </c>
      <c r="M7" s="31">
        <f t="shared" si="0"/>
        <v>36</v>
      </c>
    </row>
    <row r="8" spans="1:13">
      <c r="A8" s="29">
        <v>4</v>
      </c>
      <c r="B8" s="31">
        <f t="shared" si="1"/>
        <v>4</v>
      </c>
      <c r="C8" s="31">
        <f t="shared" si="1"/>
        <v>8</v>
      </c>
      <c r="D8" s="31">
        <f t="shared" si="2"/>
        <v>12</v>
      </c>
      <c r="E8" s="31">
        <f t="shared" si="0"/>
        <v>16</v>
      </c>
      <c r="F8" s="31">
        <f t="shared" si="0"/>
        <v>20</v>
      </c>
      <c r="G8" s="31">
        <f t="shared" si="0"/>
        <v>24</v>
      </c>
      <c r="H8" s="31">
        <f t="shared" si="0"/>
        <v>28</v>
      </c>
      <c r="I8" s="31">
        <f t="shared" si="0"/>
        <v>32</v>
      </c>
      <c r="J8" s="31">
        <f t="shared" si="0"/>
        <v>36</v>
      </c>
      <c r="K8" s="31">
        <f t="shared" si="0"/>
        <v>40</v>
      </c>
      <c r="L8" s="31">
        <f t="shared" si="0"/>
        <v>44</v>
      </c>
      <c r="M8" s="31">
        <f t="shared" si="0"/>
        <v>48</v>
      </c>
    </row>
    <row r="9" spans="1:13">
      <c r="A9" s="29">
        <v>5</v>
      </c>
      <c r="B9" s="31">
        <f t="shared" si="1"/>
        <v>5</v>
      </c>
      <c r="C9" s="31">
        <f t="shared" si="1"/>
        <v>10</v>
      </c>
      <c r="D9" s="31">
        <f t="shared" si="2"/>
        <v>15</v>
      </c>
      <c r="E9" s="31">
        <f t="shared" si="0"/>
        <v>20</v>
      </c>
      <c r="F9" s="31">
        <f t="shared" si="0"/>
        <v>25</v>
      </c>
      <c r="G9" s="31">
        <f t="shared" si="0"/>
        <v>30</v>
      </c>
      <c r="H9" s="31">
        <f t="shared" si="0"/>
        <v>35</v>
      </c>
      <c r="I9" s="31">
        <f t="shared" si="0"/>
        <v>40</v>
      </c>
      <c r="J9" s="31">
        <f t="shared" si="0"/>
        <v>45</v>
      </c>
      <c r="K9" s="31">
        <f t="shared" si="0"/>
        <v>50</v>
      </c>
      <c r="L9" s="31">
        <f t="shared" si="0"/>
        <v>55</v>
      </c>
      <c r="M9" s="31">
        <f t="shared" si="0"/>
        <v>60</v>
      </c>
    </row>
    <row r="10" spans="1:13">
      <c r="A10" s="29">
        <v>6</v>
      </c>
      <c r="B10" s="31">
        <f t="shared" si="1"/>
        <v>6</v>
      </c>
      <c r="C10" s="31">
        <f t="shared" si="1"/>
        <v>12</v>
      </c>
      <c r="D10" s="31">
        <f t="shared" si="2"/>
        <v>18</v>
      </c>
      <c r="E10" s="31">
        <f t="shared" si="0"/>
        <v>24</v>
      </c>
      <c r="F10" s="31">
        <f t="shared" si="0"/>
        <v>30</v>
      </c>
      <c r="G10" s="31">
        <f t="shared" si="0"/>
        <v>36</v>
      </c>
      <c r="H10" s="31">
        <f t="shared" si="0"/>
        <v>42</v>
      </c>
      <c r="I10" s="31">
        <f t="shared" si="0"/>
        <v>48</v>
      </c>
      <c r="J10" s="31">
        <f t="shared" si="0"/>
        <v>54</v>
      </c>
      <c r="K10" s="31">
        <f t="shared" si="0"/>
        <v>60</v>
      </c>
      <c r="L10" s="31">
        <f t="shared" si="0"/>
        <v>66</v>
      </c>
      <c r="M10" s="31">
        <f t="shared" si="0"/>
        <v>72</v>
      </c>
    </row>
    <row r="11" spans="1:13">
      <c r="A11" s="29">
        <v>7</v>
      </c>
      <c r="B11" s="31">
        <f t="shared" si="1"/>
        <v>7</v>
      </c>
      <c r="C11" s="31">
        <f t="shared" si="1"/>
        <v>14</v>
      </c>
      <c r="D11" s="31">
        <f t="shared" si="2"/>
        <v>21</v>
      </c>
      <c r="E11" s="31">
        <f t="shared" si="0"/>
        <v>28</v>
      </c>
      <c r="F11" s="31">
        <f t="shared" si="0"/>
        <v>35</v>
      </c>
      <c r="G11" s="31">
        <f t="shared" si="0"/>
        <v>42</v>
      </c>
      <c r="H11" s="31">
        <f t="shared" si="0"/>
        <v>49</v>
      </c>
      <c r="I11" s="31">
        <f t="shared" si="0"/>
        <v>56</v>
      </c>
      <c r="J11" s="31">
        <f t="shared" si="0"/>
        <v>63</v>
      </c>
      <c r="K11" s="31">
        <f t="shared" si="0"/>
        <v>70</v>
      </c>
      <c r="L11" s="31">
        <f t="shared" si="0"/>
        <v>77</v>
      </c>
      <c r="M11" s="31">
        <f t="shared" si="0"/>
        <v>84</v>
      </c>
    </row>
    <row r="12" spans="1:13">
      <c r="A12" s="29">
        <v>8</v>
      </c>
      <c r="B12" s="31">
        <f t="shared" si="1"/>
        <v>8</v>
      </c>
      <c r="C12" s="31">
        <f t="shared" si="1"/>
        <v>16</v>
      </c>
      <c r="D12" s="31">
        <f t="shared" si="2"/>
        <v>24</v>
      </c>
      <c r="E12" s="31">
        <f t="shared" si="0"/>
        <v>32</v>
      </c>
      <c r="F12" s="31">
        <f t="shared" si="0"/>
        <v>40</v>
      </c>
      <c r="G12" s="31">
        <f t="shared" si="0"/>
        <v>48</v>
      </c>
      <c r="H12" s="31">
        <f t="shared" si="0"/>
        <v>56</v>
      </c>
      <c r="I12" s="31">
        <f t="shared" si="0"/>
        <v>64</v>
      </c>
      <c r="J12" s="31">
        <f t="shared" si="0"/>
        <v>72</v>
      </c>
      <c r="K12" s="31">
        <f t="shared" si="0"/>
        <v>80</v>
      </c>
      <c r="L12" s="31">
        <f t="shared" si="0"/>
        <v>88</v>
      </c>
      <c r="M12" s="31">
        <f t="shared" si="0"/>
        <v>96</v>
      </c>
    </row>
    <row r="13" spans="1:13">
      <c r="A13" s="29">
        <v>9</v>
      </c>
      <c r="B13" s="31">
        <f t="shared" si="1"/>
        <v>9</v>
      </c>
      <c r="C13" s="31">
        <f t="shared" si="1"/>
        <v>18</v>
      </c>
      <c r="D13" s="31">
        <f t="shared" si="2"/>
        <v>27</v>
      </c>
      <c r="E13" s="31">
        <f t="shared" si="0"/>
        <v>36</v>
      </c>
      <c r="F13" s="31">
        <f t="shared" si="0"/>
        <v>45</v>
      </c>
      <c r="G13" s="31">
        <f t="shared" si="0"/>
        <v>54</v>
      </c>
      <c r="H13" s="31">
        <f t="shared" si="0"/>
        <v>63</v>
      </c>
      <c r="I13" s="31">
        <f t="shared" si="0"/>
        <v>72</v>
      </c>
      <c r="J13" s="31">
        <f t="shared" si="0"/>
        <v>81</v>
      </c>
      <c r="K13" s="31">
        <f t="shared" si="0"/>
        <v>90</v>
      </c>
      <c r="L13" s="31">
        <f t="shared" si="0"/>
        <v>99</v>
      </c>
      <c r="M13" s="31">
        <f t="shared" si="0"/>
        <v>108</v>
      </c>
    </row>
    <row r="14" spans="1:13">
      <c r="A14" s="29">
        <v>10</v>
      </c>
      <c r="B14" s="31">
        <f t="shared" si="1"/>
        <v>10</v>
      </c>
      <c r="C14" s="31">
        <f t="shared" si="1"/>
        <v>20</v>
      </c>
      <c r="D14" s="31">
        <f t="shared" si="2"/>
        <v>30</v>
      </c>
      <c r="E14" s="31">
        <f t="shared" si="0"/>
        <v>40</v>
      </c>
      <c r="F14" s="31">
        <f t="shared" si="0"/>
        <v>50</v>
      </c>
      <c r="G14" s="31">
        <f t="shared" si="0"/>
        <v>60</v>
      </c>
      <c r="H14" s="31">
        <f t="shared" si="0"/>
        <v>70</v>
      </c>
      <c r="I14" s="31">
        <f t="shared" si="0"/>
        <v>80</v>
      </c>
      <c r="J14" s="31">
        <f t="shared" si="0"/>
        <v>90</v>
      </c>
      <c r="K14" s="31">
        <f t="shared" si="0"/>
        <v>100</v>
      </c>
      <c r="L14" s="31">
        <f t="shared" si="0"/>
        <v>110</v>
      </c>
      <c r="M14" s="31">
        <f t="shared" si="0"/>
        <v>120</v>
      </c>
    </row>
    <row r="15" spans="1:13">
      <c r="A15" s="29">
        <v>11</v>
      </c>
      <c r="B15" s="31">
        <f t="shared" si="1"/>
        <v>11</v>
      </c>
      <c r="C15" s="31">
        <f t="shared" si="1"/>
        <v>22</v>
      </c>
      <c r="D15" s="31">
        <f t="shared" si="2"/>
        <v>33</v>
      </c>
      <c r="E15" s="31">
        <f t="shared" si="0"/>
        <v>44</v>
      </c>
      <c r="F15" s="31">
        <f t="shared" si="0"/>
        <v>55</v>
      </c>
      <c r="G15" s="31">
        <f t="shared" si="0"/>
        <v>66</v>
      </c>
      <c r="H15" s="31">
        <f t="shared" si="0"/>
        <v>77</v>
      </c>
      <c r="I15" s="31">
        <f t="shared" si="0"/>
        <v>88</v>
      </c>
      <c r="J15" s="31">
        <f t="shared" si="0"/>
        <v>99</v>
      </c>
      <c r="K15" s="31">
        <f t="shared" si="0"/>
        <v>110</v>
      </c>
      <c r="L15" s="31">
        <f t="shared" si="0"/>
        <v>121</v>
      </c>
      <c r="M15" s="31">
        <f t="shared" si="0"/>
        <v>132</v>
      </c>
    </row>
    <row r="16" spans="1:13">
      <c r="A16" s="29">
        <v>12</v>
      </c>
      <c r="B16" s="31">
        <f t="shared" si="1"/>
        <v>12</v>
      </c>
      <c r="C16" s="31">
        <f t="shared" si="1"/>
        <v>24</v>
      </c>
      <c r="D16" s="31">
        <f t="shared" si="2"/>
        <v>36</v>
      </c>
      <c r="E16" s="31">
        <f t="shared" si="0"/>
        <v>48</v>
      </c>
      <c r="F16" s="31">
        <f t="shared" si="0"/>
        <v>60</v>
      </c>
      <c r="G16" s="31">
        <f t="shared" si="0"/>
        <v>72</v>
      </c>
      <c r="H16" s="31">
        <f t="shared" si="0"/>
        <v>84</v>
      </c>
      <c r="I16" s="31">
        <f t="shared" si="0"/>
        <v>96</v>
      </c>
      <c r="J16" s="31">
        <f t="shared" si="0"/>
        <v>108</v>
      </c>
      <c r="K16" s="31">
        <f t="shared" si="0"/>
        <v>120</v>
      </c>
      <c r="L16" s="31">
        <f t="shared" si="0"/>
        <v>132</v>
      </c>
      <c r="M16" s="31">
        <f t="shared" si="0"/>
        <v>144</v>
      </c>
    </row>
    <row r="17" spans="1:13">
      <c r="A17" s="29">
        <v>13</v>
      </c>
      <c r="B17" s="31">
        <f t="shared" si="1"/>
        <v>13</v>
      </c>
      <c r="C17" s="31">
        <f t="shared" si="1"/>
        <v>26</v>
      </c>
      <c r="D17" s="31">
        <f t="shared" si="2"/>
        <v>39</v>
      </c>
      <c r="E17" s="31">
        <f t="shared" si="0"/>
        <v>52</v>
      </c>
      <c r="F17" s="31">
        <f t="shared" si="0"/>
        <v>65</v>
      </c>
      <c r="G17" s="31">
        <f t="shared" si="0"/>
        <v>78</v>
      </c>
      <c r="H17" s="31">
        <f t="shared" si="0"/>
        <v>91</v>
      </c>
      <c r="I17" s="31">
        <f t="shared" si="0"/>
        <v>104</v>
      </c>
      <c r="J17" s="31">
        <f t="shared" si="0"/>
        <v>117</v>
      </c>
      <c r="K17" s="31">
        <f t="shared" si="0"/>
        <v>130</v>
      </c>
      <c r="L17" s="31">
        <f t="shared" si="0"/>
        <v>143</v>
      </c>
      <c r="M17" s="31">
        <f t="shared" si="0"/>
        <v>156</v>
      </c>
    </row>
    <row r="18" spans="1:13">
      <c r="A18" s="29">
        <v>14</v>
      </c>
      <c r="B18" s="31">
        <f t="shared" si="1"/>
        <v>14</v>
      </c>
      <c r="C18" s="31">
        <f t="shared" si="1"/>
        <v>28</v>
      </c>
      <c r="D18" s="31">
        <f t="shared" si="2"/>
        <v>42</v>
      </c>
      <c r="E18" s="31">
        <f t="shared" si="0"/>
        <v>56</v>
      </c>
      <c r="F18" s="31">
        <f t="shared" si="0"/>
        <v>70</v>
      </c>
      <c r="G18" s="31">
        <f t="shared" si="0"/>
        <v>84</v>
      </c>
      <c r="H18" s="31">
        <f t="shared" si="0"/>
        <v>98</v>
      </c>
      <c r="I18" s="31">
        <f t="shared" si="0"/>
        <v>112</v>
      </c>
      <c r="J18" s="31">
        <f t="shared" si="0"/>
        <v>126</v>
      </c>
      <c r="K18" s="31">
        <f t="shared" si="0"/>
        <v>140</v>
      </c>
      <c r="L18" s="31">
        <f t="shared" si="0"/>
        <v>154</v>
      </c>
      <c r="M18" s="31">
        <f t="shared" si="0"/>
        <v>168</v>
      </c>
    </row>
    <row r="19" spans="1:13">
      <c r="A19" s="29">
        <v>15</v>
      </c>
      <c r="B19" s="31">
        <f t="shared" si="1"/>
        <v>15</v>
      </c>
      <c r="C19" s="31">
        <f t="shared" si="1"/>
        <v>30</v>
      </c>
      <c r="D19" s="31">
        <f t="shared" si="2"/>
        <v>45</v>
      </c>
      <c r="E19" s="31">
        <f t="shared" si="0"/>
        <v>60</v>
      </c>
      <c r="F19" s="31">
        <f t="shared" si="0"/>
        <v>75</v>
      </c>
      <c r="G19" s="31">
        <f t="shared" si="0"/>
        <v>90</v>
      </c>
      <c r="H19" s="31">
        <f t="shared" si="0"/>
        <v>105</v>
      </c>
      <c r="I19" s="31">
        <f t="shared" si="0"/>
        <v>120</v>
      </c>
      <c r="J19" s="31">
        <f t="shared" si="0"/>
        <v>135</v>
      </c>
      <c r="K19" s="31">
        <f t="shared" si="0"/>
        <v>150</v>
      </c>
      <c r="L19" s="31">
        <f t="shared" si="0"/>
        <v>165</v>
      </c>
      <c r="M19" s="31">
        <f t="shared" si="0"/>
        <v>180</v>
      </c>
    </row>
    <row r="20" spans="1:13">
      <c r="A20" s="29">
        <v>16</v>
      </c>
      <c r="B20" s="31">
        <f t="shared" si="1"/>
        <v>16</v>
      </c>
      <c r="C20" s="31">
        <f t="shared" si="1"/>
        <v>32</v>
      </c>
      <c r="D20" s="31">
        <f t="shared" si="2"/>
        <v>48</v>
      </c>
      <c r="E20" s="31">
        <f t="shared" si="0"/>
        <v>64</v>
      </c>
      <c r="F20" s="31">
        <f t="shared" si="0"/>
        <v>80</v>
      </c>
      <c r="G20" s="31">
        <f t="shared" si="0"/>
        <v>96</v>
      </c>
      <c r="H20" s="31">
        <f t="shared" si="0"/>
        <v>112</v>
      </c>
      <c r="I20" s="31">
        <f t="shared" si="0"/>
        <v>128</v>
      </c>
      <c r="J20" s="31">
        <f t="shared" si="0"/>
        <v>144</v>
      </c>
      <c r="K20" s="31">
        <f t="shared" si="0"/>
        <v>160</v>
      </c>
      <c r="L20" s="31">
        <f t="shared" si="0"/>
        <v>176</v>
      </c>
      <c r="M20" s="31">
        <f t="shared" si="0"/>
        <v>192</v>
      </c>
    </row>
  </sheetData>
  <mergeCells count="2">
    <mergeCell ref="A1:G1"/>
    <mergeCell ref="A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D8BD-2BF0-4E05-86E8-92E1D17448CF}">
  <dimension ref="A1:G15"/>
  <sheetViews>
    <sheetView showGridLines="0" tabSelected="1" zoomScaleNormal="100" workbookViewId="0">
      <selection activeCell="D9" sqref="D9"/>
    </sheetView>
  </sheetViews>
  <sheetFormatPr defaultColWidth="9.140625" defaultRowHeight="15"/>
  <cols>
    <col min="1" max="2" width="10.42578125" customWidth="1"/>
    <col min="7" max="7" width="9.7109375" customWidth="1"/>
    <col min="13" max="13" width="9.5703125" customWidth="1"/>
    <col min="15" max="15" width="12.85546875" customWidth="1"/>
    <col min="17" max="17" width="9.85546875" customWidth="1"/>
  </cols>
  <sheetData>
    <row r="1" spans="1:7">
      <c r="A1" s="40" t="s">
        <v>80</v>
      </c>
      <c r="B1" s="40"/>
      <c r="C1" s="40"/>
      <c r="D1" s="40"/>
      <c r="E1" s="40"/>
      <c r="F1" s="40"/>
    </row>
    <row r="2" spans="1:7">
      <c r="A2" s="42" t="s">
        <v>83</v>
      </c>
      <c r="B2" s="42"/>
      <c r="C2" s="42"/>
      <c r="D2" s="42"/>
      <c r="E2" s="42"/>
      <c r="F2" s="42"/>
    </row>
    <row r="4" spans="1:7">
      <c r="A4" s="44" t="s">
        <v>0</v>
      </c>
      <c r="B4" s="45"/>
      <c r="C4" s="45"/>
      <c r="D4" s="45"/>
      <c r="E4" s="45"/>
      <c r="F4" s="45"/>
      <c r="G4" s="46"/>
    </row>
    <row r="5" spans="1:7">
      <c r="A5" s="19" t="s">
        <v>7</v>
      </c>
      <c r="B5" s="20" t="s">
        <v>1</v>
      </c>
      <c r="C5" s="20" t="s">
        <v>2</v>
      </c>
      <c r="D5" s="20" t="s">
        <v>3</v>
      </c>
      <c r="E5" s="20" t="s">
        <v>4</v>
      </c>
      <c r="F5" s="20" t="s">
        <v>5</v>
      </c>
      <c r="G5" s="20" t="s">
        <v>5</v>
      </c>
    </row>
    <row r="6" spans="1:7">
      <c r="A6" s="10" t="s">
        <v>8</v>
      </c>
      <c r="B6" s="14" t="s">
        <v>9</v>
      </c>
      <c r="C6" s="14" t="s">
        <v>10</v>
      </c>
      <c r="D6" s="14" t="s">
        <v>11</v>
      </c>
      <c r="E6" s="14" t="s">
        <v>12</v>
      </c>
      <c r="F6" s="14" t="s">
        <v>6</v>
      </c>
      <c r="G6" s="14" t="s">
        <v>13</v>
      </c>
    </row>
    <row r="8" spans="1:7">
      <c r="A8" s="47" t="s">
        <v>0</v>
      </c>
      <c r="B8" s="47"/>
    </row>
    <row r="9" spans="1:7">
      <c r="A9" s="5" t="s">
        <v>7</v>
      </c>
      <c r="B9" s="5" t="s">
        <v>8</v>
      </c>
    </row>
    <row r="10" spans="1:7">
      <c r="A10" s="14" t="str">
        <f t="array" ref="A10:B15">TRANSPOSE(B5:G6)</f>
        <v>Mateusz</v>
      </c>
      <c r="B10" s="14" t="str">
        <v>Kawiecki</v>
      </c>
    </row>
    <row r="11" spans="1:7">
      <c r="A11" s="14" t="str">
        <v>Krzysztof</v>
      </c>
      <c r="B11" s="14" t="str">
        <v>Korzen</v>
      </c>
    </row>
    <row r="12" spans="1:7">
      <c r="A12" s="14" t="str">
        <v>Grzegorz</v>
      </c>
      <c r="B12" s="14" t="str">
        <v>Fuks</v>
      </c>
    </row>
    <row r="13" spans="1:7">
      <c r="A13" s="14" t="str">
        <v>Olek</v>
      </c>
      <c r="B13" s="14" t="str">
        <v>Cyran</v>
      </c>
    </row>
    <row r="14" spans="1:7">
      <c r="A14" s="14" t="str">
        <v>Michał</v>
      </c>
      <c r="B14" s="14" t="str">
        <v>Jarek</v>
      </c>
    </row>
    <row r="15" spans="1:7">
      <c r="A15" s="14" t="str">
        <v>Michał</v>
      </c>
      <c r="B15" s="14" t="str">
        <v>Laskowski</v>
      </c>
    </row>
  </sheetData>
  <mergeCells count="4">
    <mergeCell ref="A4:G4"/>
    <mergeCell ref="A8:B8"/>
    <mergeCell ref="A2:F2"/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073A-54FC-4138-9FA0-6FD881D171BA}">
  <dimension ref="A1:F20"/>
  <sheetViews>
    <sheetView showGridLines="0" zoomScaleNormal="100" workbookViewId="0">
      <selection activeCell="G8" sqref="G8"/>
    </sheetView>
  </sheetViews>
  <sheetFormatPr defaultColWidth="9.140625" defaultRowHeight="15"/>
  <cols>
    <col min="1" max="1" width="31.5703125" customWidth="1"/>
    <col min="2" max="2" width="18.5703125" customWidth="1"/>
    <col min="3" max="3" width="9.42578125" customWidth="1"/>
    <col min="4" max="4" width="11.28515625" customWidth="1"/>
    <col min="5" max="5" width="11" customWidth="1"/>
    <col min="12" max="12" width="9.5703125" customWidth="1"/>
    <col min="14" max="14" width="12.85546875" customWidth="1"/>
    <col min="16" max="16" width="9.85546875" customWidth="1"/>
  </cols>
  <sheetData>
    <row r="1" spans="1:6">
      <c r="A1" s="40" t="s">
        <v>84</v>
      </c>
      <c r="B1" s="40"/>
      <c r="C1" s="40"/>
      <c r="D1" s="40"/>
      <c r="E1" s="40"/>
    </row>
    <row r="2" spans="1:6">
      <c r="A2" s="42" t="s">
        <v>82</v>
      </c>
      <c r="B2" s="42"/>
      <c r="C2" s="42"/>
      <c r="D2" s="42"/>
      <c r="E2" s="42"/>
    </row>
    <row r="4" spans="1:6">
      <c r="A4" s="44" t="s">
        <v>99</v>
      </c>
      <c r="B4" s="46"/>
      <c r="D4" s="47" t="s">
        <v>81</v>
      </c>
      <c r="E4" s="47"/>
      <c r="F4" s="47"/>
    </row>
    <row r="5" spans="1:6">
      <c r="A5" s="21" t="s">
        <v>39</v>
      </c>
      <c r="B5" s="21"/>
      <c r="D5" s="5" t="s">
        <v>7</v>
      </c>
      <c r="E5" s="5" t="s">
        <v>8</v>
      </c>
      <c r="F5" s="5" t="s">
        <v>75</v>
      </c>
    </row>
    <row r="6" spans="1:6">
      <c r="A6" s="21" t="s">
        <v>40</v>
      </c>
      <c r="B6" s="21"/>
      <c r="D6" s="2" t="s">
        <v>137</v>
      </c>
      <c r="E6" s="2" t="s">
        <v>138</v>
      </c>
      <c r="F6" s="2" t="s">
        <v>139</v>
      </c>
    </row>
    <row r="7" spans="1:6">
      <c r="A7" s="21" t="s">
        <v>41</v>
      </c>
      <c r="B7" s="21"/>
      <c r="D7" s="1" t="s">
        <v>140</v>
      </c>
      <c r="E7" s="1" t="s">
        <v>141</v>
      </c>
      <c r="F7" s="2" t="s">
        <v>142</v>
      </c>
    </row>
    <row r="8" spans="1:6">
      <c r="A8" s="21" t="s">
        <v>42</v>
      </c>
      <c r="B8" s="21"/>
      <c r="D8" s="1" t="s">
        <v>143</v>
      </c>
      <c r="E8" s="1" t="s">
        <v>144</v>
      </c>
      <c r="F8" s="2" t="s">
        <v>145</v>
      </c>
    </row>
    <row r="9" spans="1:6">
      <c r="A9" s="21" t="s">
        <v>43</v>
      </c>
      <c r="B9" s="21"/>
      <c r="D9" s="1" t="s">
        <v>146</v>
      </c>
      <c r="E9" s="1" t="s">
        <v>147</v>
      </c>
      <c r="F9" s="2" t="s">
        <v>148</v>
      </c>
    </row>
    <row r="10" spans="1:6">
      <c r="A10" s="21" t="s">
        <v>44</v>
      </c>
      <c r="B10" s="21"/>
      <c r="D10" s="1" t="s">
        <v>149</v>
      </c>
      <c r="E10" s="1" t="s">
        <v>150</v>
      </c>
      <c r="F10" s="2" t="s">
        <v>151</v>
      </c>
    </row>
    <row r="11" spans="1:6">
      <c r="A11" s="21" t="s">
        <v>45</v>
      </c>
      <c r="B11" s="21"/>
      <c r="D11" s="1" t="s">
        <v>152</v>
      </c>
      <c r="E11" s="1" t="s">
        <v>153</v>
      </c>
      <c r="F11" s="2" t="s">
        <v>154</v>
      </c>
    </row>
    <row r="12" spans="1:6">
      <c r="A12" s="21" t="s">
        <v>46</v>
      </c>
      <c r="B12" s="21"/>
      <c r="D12" s="2" t="s">
        <v>155</v>
      </c>
      <c r="E12" s="2" t="s">
        <v>156</v>
      </c>
      <c r="F12" s="2" t="s">
        <v>157</v>
      </c>
    </row>
    <row r="13" spans="1:6">
      <c r="A13" s="21" t="s">
        <v>47</v>
      </c>
      <c r="B13" s="21"/>
      <c r="D13" s="1" t="s">
        <v>158</v>
      </c>
      <c r="E13" s="1" t="s">
        <v>159</v>
      </c>
      <c r="F13" s="2" t="s">
        <v>160</v>
      </c>
    </row>
    <row r="14" spans="1:6">
      <c r="A14" s="21" t="s">
        <v>48</v>
      </c>
      <c r="B14" s="21"/>
      <c r="D14" s="1" t="s">
        <v>161</v>
      </c>
      <c r="E14" s="1" t="s">
        <v>162</v>
      </c>
      <c r="F14" s="2" t="s">
        <v>163</v>
      </c>
    </row>
    <row r="15" spans="1:6">
      <c r="A15" s="21" t="s">
        <v>49</v>
      </c>
      <c r="B15" s="21"/>
      <c r="D15" s="1" t="s">
        <v>164</v>
      </c>
      <c r="E15" s="1" t="s">
        <v>165</v>
      </c>
      <c r="F15" s="2" t="s">
        <v>166</v>
      </c>
    </row>
    <row r="16" spans="1:6">
      <c r="A16" s="21" t="s">
        <v>50</v>
      </c>
      <c r="B16" s="21"/>
      <c r="D16" s="1" t="s">
        <v>167</v>
      </c>
      <c r="E16" s="1" t="s">
        <v>168</v>
      </c>
      <c r="F16" s="2" t="s">
        <v>169</v>
      </c>
    </row>
    <row r="17" spans="1:6">
      <c r="A17" s="21" t="s">
        <v>51</v>
      </c>
      <c r="B17" s="21"/>
      <c r="D17" s="1" t="s">
        <v>170</v>
      </c>
      <c r="E17" s="1" t="s">
        <v>171</v>
      </c>
      <c r="F17" s="2" t="s">
        <v>172</v>
      </c>
    </row>
    <row r="18" spans="1:6">
      <c r="A18" s="21" t="s">
        <v>52</v>
      </c>
      <c r="B18" s="21"/>
      <c r="D18" s="2" t="s">
        <v>173</v>
      </c>
      <c r="E18" s="2" t="s">
        <v>174</v>
      </c>
      <c r="F18" s="2" t="s">
        <v>175</v>
      </c>
    </row>
    <row r="19" spans="1:6">
      <c r="A19" s="21" t="s">
        <v>53</v>
      </c>
      <c r="B19" s="21"/>
      <c r="D19" s="1" t="s">
        <v>176</v>
      </c>
      <c r="E19" s="1" t="s">
        <v>177</v>
      </c>
      <c r="F19" s="2" t="s">
        <v>178</v>
      </c>
    </row>
    <row r="20" spans="1:6">
      <c r="D20" s="1" t="s">
        <v>179</v>
      </c>
      <c r="E20" s="1" t="s">
        <v>180</v>
      </c>
      <c r="F20" s="2" t="s">
        <v>181</v>
      </c>
    </row>
  </sheetData>
  <mergeCells count="4">
    <mergeCell ref="D4:F4"/>
    <mergeCell ref="A1:E1"/>
    <mergeCell ref="A2:E2"/>
    <mergeCell ref="A4:B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FA42-C2F6-4E67-8073-E197DD441A6C}">
  <dimension ref="A1:I37"/>
  <sheetViews>
    <sheetView showGridLines="0" workbookViewId="0">
      <selection activeCell="G40" sqref="G40"/>
    </sheetView>
  </sheetViews>
  <sheetFormatPr defaultColWidth="9.140625" defaultRowHeight="15"/>
  <cols>
    <col min="1" max="1" width="10.42578125" customWidth="1"/>
    <col min="3" max="3" width="9.140625" customWidth="1"/>
    <col min="7" max="7" width="20.5703125" customWidth="1"/>
    <col min="14" max="14" width="12.85546875" customWidth="1"/>
    <col min="16" max="16" width="9.85546875" customWidth="1"/>
  </cols>
  <sheetData>
    <row r="1" spans="1:9">
      <c r="A1" s="48" t="s">
        <v>85</v>
      </c>
      <c r="B1" s="48"/>
      <c r="C1" s="48"/>
      <c r="D1" s="48"/>
      <c r="E1" s="27"/>
      <c r="F1" s="27"/>
      <c r="G1" s="27"/>
    </row>
    <row r="2" spans="1:9" ht="14.25" customHeight="1">
      <c r="A2" s="41" t="s">
        <v>91</v>
      </c>
      <c r="B2" s="41"/>
      <c r="C2" s="41"/>
      <c r="D2" s="41"/>
      <c r="E2" s="41"/>
      <c r="F2" s="41"/>
      <c r="G2" s="41"/>
      <c r="H2" s="22"/>
    </row>
    <row r="3" spans="1:9">
      <c r="A3" s="41"/>
      <c r="B3" s="41"/>
      <c r="C3" s="41"/>
      <c r="D3" s="41"/>
      <c r="E3" s="41"/>
      <c r="F3" s="41"/>
      <c r="G3" s="41"/>
      <c r="H3" s="22"/>
      <c r="I3" s="17"/>
    </row>
    <row r="4" spans="1:9">
      <c r="A4" s="23"/>
      <c r="B4" s="23"/>
      <c r="C4" s="23"/>
      <c r="D4" s="23"/>
      <c r="E4" s="23"/>
      <c r="F4" s="23"/>
      <c r="G4" s="23"/>
      <c r="H4" s="22"/>
      <c r="I4" s="17"/>
    </row>
    <row r="5" spans="1:9">
      <c r="A5" s="47" t="s">
        <v>22</v>
      </c>
      <c r="B5" s="45"/>
      <c r="C5" s="45"/>
      <c r="D5" s="45"/>
      <c r="E5" s="46"/>
    </row>
    <row r="6" spans="1:9">
      <c r="A6" s="18">
        <f ca="1">RANDBETWEEN(1,40)</f>
        <v>34</v>
      </c>
      <c r="B6" s="18">
        <f t="shared" ref="B6:E12" ca="1" si="0">RANDBETWEEN(1,40)</f>
        <v>7</v>
      </c>
      <c r="C6" s="18">
        <f t="shared" ca="1" si="0"/>
        <v>37</v>
      </c>
      <c r="D6" s="18">
        <f t="shared" ca="1" si="0"/>
        <v>9</v>
      </c>
      <c r="E6" s="18">
        <f t="shared" ca="1" si="0"/>
        <v>37</v>
      </c>
    </row>
    <row r="7" spans="1:9">
      <c r="A7" s="18">
        <f t="shared" ref="A7:A12" ca="1" si="1">RANDBETWEEN(1,40)</f>
        <v>1</v>
      </c>
      <c r="B7" s="18">
        <f t="shared" ca="1" si="0"/>
        <v>7</v>
      </c>
      <c r="C7" s="18">
        <f t="shared" ca="1" si="0"/>
        <v>6</v>
      </c>
      <c r="D7" s="18">
        <f t="shared" ca="1" si="0"/>
        <v>5</v>
      </c>
      <c r="E7" s="18">
        <f t="shared" ca="1" si="0"/>
        <v>34</v>
      </c>
    </row>
    <row r="8" spans="1:9">
      <c r="A8" s="18">
        <f t="shared" ca="1" si="1"/>
        <v>33</v>
      </c>
      <c r="B8" s="18">
        <f t="shared" ca="1" si="0"/>
        <v>12</v>
      </c>
      <c r="C8" s="18">
        <f t="shared" ca="1" si="0"/>
        <v>2</v>
      </c>
      <c r="D8" s="18">
        <f t="shared" ca="1" si="0"/>
        <v>4</v>
      </c>
      <c r="E8" s="18">
        <f t="shared" ca="1" si="0"/>
        <v>22</v>
      </c>
    </row>
    <row r="9" spans="1:9">
      <c r="A9" s="18">
        <f t="shared" ca="1" si="1"/>
        <v>35</v>
      </c>
      <c r="B9" s="18">
        <f t="shared" ca="1" si="0"/>
        <v>15</v>
      </c>
      <c r="C9" s="18">
        <f t="shared" ca="1" si="0"/>
        <v>3</v>
      </c>
      <c r="D9" s="18">
        <f t="shared" ca="1" si="0"/>
        <v>7</v>
      </c>
      <c r="E9" s="18">
        <f t="shared" ca="1" si="0"/>
        <v>13</v>
      </c>
    </row>
    <row r="10" spans="1:9">
      <c r="A10" s="18">
        <f t="shared" ca="1" si="1"/>
        <v>7</v>
      </c>
      <c r="B10" s="18">
        <f t="shared" ca="1" si="0"/>
        <v>33</v>
      </c>
      <c r="C10" s="18">
        <f t="shared" ca="1" si="0"/>
        <v>40</v>
      </c>
      <c r="D10" s="18">
        <f t="shared" ca="1" si="0"/>
        <v>24</v>
      </c>
      <c r="E10" s="18">
        <f t="shared" ca="1" si="0"/>
        <v>38</v>
      </c>
    </row>
    <row r="11" spans="1:9">
      <c r="A11" s="18">
        <f t="shared" ca="1" si="1"/>
        <v>20</v>
      </c>
      <c r="B11" s="18">
        <f t="shared" ca="1" si="0"/>
        <v>24</v>
      </c>
      <c r="C11" s="18">
        <f t="shared" ca="1" si="0"/>
        <v>31</v>
      </c>
      <c r="D11" s="18">
        <f t="shared" ca="1" si="0"/>
        <v>8</v>
      </c>
      <c r="E11" s="18">
        <f t="shared" ca="1" si="0"/>
        <v>11</v>
      </c>
    </row>
    <row r="12" spans="1:9">
      <c r="A12" s="18">
        <f t="shared" ca="1" si="1"/>
        <v>11</v>
      </c>
      <c r="B12" s="18">
        <f t="shared" ca="1" si="0"/>
        <v>26</v>
      </c>
      <c r="C12" s="18">
        <f t="shared" ca="1" si="0"/>
        <v>19</v>
      </c>
      <c r="D12" s="18">
        <f t="shared" ca="1" si="0"/>
        <v>39</v>
      </c>
      <c r="E12" s="18">
        <f t="shared" ca="1" si="0"/>
        <v>1</v>
      </c>
    </row>
    <row r="14" spans="1:9">
      <c r="A14" s="40" t="s">
        <v>90</v>
      </c>
      <c r="B14" s="40"/>
      <c r="C14" s="40"/>
      <c r="D14" s="40"/>
      <c r="E14" s="40"/>
      <c r="F14" s="40"/>
      <c r="G14" s="40"/>
    </row>
    <row r="15" spans="1:9" ht="14.25" customHeight="1">
      <c r="A15" s="41" t="s">
        <v>92</v>
      </c>
      <c r="B15" s="41"/>
      <c r="C15" s="41"/>
      <c r="D15" s="41"/>
      <c r="E15" s="41"/>
      <c r="F15" s="41"/>
      <c r="G15" s="41"/>
    </row>
    <row r="16" spans="1:9">
      <c r="A16" s="41"/>
      <c r="B16" s="41"/>
      <c r="C16" s="41"/>
      <c r="D16" s="41"/>
      <c r="E16" s="41"/>
      <c r="F16" s="41"/>
      <c r="G16" s="41"/>
    </row>
    <row r="18" spans="1:7">
      <c r="A18" s="47" t="s">
        <v>22</v>
      </c>
      <c r="B18" s="45"/>
      <c r="C18" s="45"/>
      <c r="D18" s="45"/>
      <c r="E18" s="46"/>
    </row>
    <row r="19" spans="1:7">
      <c r="A19" s="18">
        <v>27</v>
      </c>
      <c r="B19" s="18">
        <v>38</v>
      </c>
      <c r="C19" s="18">
        <v>1</v>
      </c>
      <c r="D19" s="18">
        <v>17</v>
      </c>
      <c r="E19" s="18">
        <v>38</v>
      </c>
    </row>
    <row r="20" spans="1:7">
      <c r="A20" s="18">
        <v>40</v>
      </c>
      <c r="B20" s="18">
        <v>16</v>
      </c>
      <c r="C20" s="18">
        <v>38</v>
      </c>
      <c r="D20" s="18">
        <v>35</v>
      </c>
      <c r="E20" s="18">
        <v>15</v>
      </c>
    </row>
    <row r="21" spans="1:7">
      <c r="A21" s="18">
        <v>17</v>
      </c>
      <c r="B21" s="18">
        <v>25</v>
      </c>
      <c r="C21" s="18">
        <v>5</v>
      </c>
      <c r="D21" s="18">
        <v>8</v>
      </c>
      <c r="E21" s="18">
        <v>6</v>
      </c>
    </row>
    <row r="22" spans="1:7">
      <c r="A22" s="18">
        <v>25</v>
      </c>
      <c r="B22" s="18">
        <v>18</v>
      </c>
      <c r="C22" s="18">
        <v>16</v>
      </c>
      <c r="D22" s="18">
        <v>20</v>
      </c>
      <c r="E22" s="18">
        <v>10</v>
      </c>
    </row>
    <row r="23" spans="1:7">
      <c r="A23" s="18">
        <v>11</v>
      </c>
      <c r="B23" s="18">
        <v>12</v>
      </c>
      <c r="C23" s="18">
        <v>5</v>
      </c>
      <c r="D23" s="18">
        <v>1</v>
      </c>
      <c r="E23" s="18">
        <v>34</v>
      </c>
    </row>
    <row r="24" spans="1:7">
      <c r="A24" s="18">
        <v>11</v>
      </c>
      <c r="B24" s="18">
        <v>34</v>
      </c>
      <c r="C24" s="18">
        <v>35</v>
      </c>
      <c r="D24" s="18">
        <v>8</v>
      </c>
      <c r="E24" s="18">
        <v>35</v>
      </c>
    </row>
    <row r="25" spans="1:7">
      <c r="A25" s="18">
        <v>6</v>
      </c>
      <c r="B25" s="18">
        <v>26</v>
      </c>
      <c r="C25" s="18">
        <v>34</v>
      </c>
      <c r="D25" s="18">
        <v>17</v>
      </c>
      <c r="E25" s="18">
        <v>12</v>
      </c>
    </row>
    <row r="27" spans="1:7">
      <c r="A27" s="40" t="s">
        <v>93</v>
      </c>
      <c r="B27" s="40"/>
      <c r="C27" s="40"/>
      <c r="D27" s="40"/>
      <c r="E27" s="40"/>
      <c r="F27" s="40"/>
      <c r="G27" s="40"/>
    </row>
    <row r="28" spans="1:7">
      <c r="A28" s="42" t="s">
        <v>94</v>
      </c>
      <c r="B28" s="42"/>
      <c r="C28" s="42"/>
      <c r="D28" s="42"/>
      <c r="E28" s="42"/>
      <c r="F28" s="42"/>
      <c r="G28" s="42"/>
    </row>
    <row r="30" spans="1:7">
      <c r="A30" s="47" t="s">
        <v>22</v>
      </c>
      <c r="B30" s="45"/>
      <c r="C30" s="45"/>
      <c r="D30" s="45"/>
      <c r="E30" s="46"/>
    </row>
    <row r="31" spans="1:7">
      <c r="A31" s="18">
        <f ca="1">RANDBETWEEN(1,40)</f>
        <v>2</v>
      </c>
      <c r="B31" s="18">
        <f t="shared" ref="B31:E37" ca="1" si="2">RANDBETWEEN(1,40)</f>
        <v>30</v>
      </c>
      <c r="C31" s="18">
        <f t="shared" ca="1" si="2"/>
        <v>25</v>
      </c>
      <c r="D31" s="18">
        <f t="shared" ca="1" si="2"/>
        <v>10</v>
      </c>
      <c r="E31" s="18">
        <f t="shared" ca="1" si="2"/>
        <v>27</v>
      </c>
    </row>
    <row r="32" spans="1:7">
      <c r="A32" s="18">
        <f t="shared" ref="A32:A37" ca="1" si="3">RANDBETWEEN(1,40)</f>
        <v>23</v>
      </c>
      <c r="B32" s="18">
        <f t="shared" ca="1" si="2"/>
        <v>33</v>
      </c>
      <c r="C32" s="18">
        <f t="shared" ca="1" si="2"/>
        <v>24</v>
      </c>
      <c r="D32" s="18">
        <f t="shared" ca="1" si="2"/>
        <v>33</v>
      </c>
      <c r="E32" s="18">
        <f t="shared" ca="1" si="2"/>
        <v>23</v>
      </c>
    </row>
    <row r="33" spans="1:5">
      <c r="A33" s="18">
        <f t="shared" ca="1" si="3"/>
        <v>33</v>
      </c>
      <c r="B33" s="18">
        <f t="shared" ca="1" si="2"/>
        <v>3</v>
      </c>
      <c r="C33" s="18">
        <f t="shared" ca="1" si="2"/>
        <v>39</v>
      </c>
      <c r="D33" s="18">
        <f t="shared" ca="1" si="2"/>
        <v>28</v>
      </c>
      <c r="E33" s="18">
        <f t="shared" ca="1" si="2"/>
        <v>22</v>
      </c>
    </row>
    <row r="34" spans="1:5">
      <c r="A34" s="18">
        <f t="shared" ca="1" si="3"/>
        <v>11</v>
      </c>
      <c r="B34" s="18">
        <f t="shared" ca="1" si="2"/>
        <v>16</v>
      </c>
      <c r="C34" s="18">
        <f t="shared" ca="1" si="2"/>
        <v>7</v>
      </c>
      <c r="D34" s="18">
        <f t="shared" ca="1" si="2"/>
        <v>33</v>
      </c>
      <c r="E34" s="18">
        <f t="shared" ca="1" si="2"/>
        <v>33</v>
      </c>
    </row>
    <row r="35" spans="1:5">
      <c r="A35" s="18">
        <f t="shared" ca="1" si="3"/>
        <v>22</v>
      </c>
      <c r="B35" s="18">
        <f t="shared" ca="1" si="2"/>
        <v>18</v>
      </c>
      <c r="C35" s="18">
        <f t="shared" ca="1" si="2"/>
        <v>29</v>
      </c>
      <c r="D35" s="18">
        <f t="shared" ca="1" si="2"/>
        <v>28</v>
      </c>
      <c r="E35" s="18">
        <f t="shared" ca="1" si="2"/>
        <v>23</v>
      </c>
    </row>
    <row r="36" spans="1:5">
      <c r="A36" s="18">
        <f t="shared" ca="1" si="3"/>
        <v>1</v>
      </c>
      <c r="B36" s="18">
        <f t="shared" ca="1" si="2"/>
        <v>20</v>
      </c>
      <c r="C36" s="18">
        <f t="shared" ca="1" si="2"/>
        <v>6</v>
      </c>
      <c r="D36" s="18">
        <f t="shared" ca="1" si="2"/>
        <v>2</v>
      </c>
      <c r="E36" s="18">
        <f t="shared" ca="1" si="2"/>
        <v>39</v>
      </c>
    </row>
    <row r="37" spans="1:5">
      <c r="A37" s="18">
        <f t="shared" ca="1" si="3"/>
        <v>26</v>
      </c>
      <c r="B37" s="18">
        <f t="shared" ca="1" si="2"/>
        <v>3</v>
      </c>
      <c r="C37" s="18">
        <f t="shared" ca="1" si="2"/>
        <v>20</v>
      </c>
      <c r="D37" s="18">
        <f t="shared" ca="1" si="2"/>
        <v>30</v>
      </c>
      <c r="E37" s="18">
        <f t="shared" ca="1" si="2"/>
        <v>35</v>
      </c>
    </row>
  </sheetData>
  <mergeCells count="9">
    <mergeCell ref="A1:D1"/>
    <mergeCell ref="A30:E30"/>
    <mergeCell ref="A2:G3"/>
    <mergeCell ref="A15:G16"/>
    <mergeCell ref="A27:G27"/>
    <mergeCell ref="A28:G28"/>
    <mergeCell ref="A14:G14"/>
    <mergeCell ref="A5:E5"/>
    <mergeCell ref="A18:E18"/>
  </mergeCells>
  <conditionalFormatting sqref="A6:E12">
    <cfRule type="cellIs" dxfId="6" priority="5" operator="lessThan">
      <formula>20</formula>
    </cfRule>
    <cfRule type="cellIs" dxfId="5" priority="4" operator="greaterThanOrEqual">
      <formula>20</formula>
    </cfRule>
  </conditionalFormatting>
  <conditionalFormatting sqref="A19:E25">
    <cfRule type="cellIs" dxfId="3" priority="3" operator="greaterThanOrEqual">
      <formula>$A$19</formula>
    </cfRule>
    <cfRule type="cellIs" dxfId="2" priority="2" operator="lessThan">
      <formula>$A$19</formula>
    </cfRule>
  </conditionalFormatting>
  <conditionalFormatting sqref="A31:E37">
    <cfRule type="top10" dxfId="0" priority="1" rank="7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A167-E1F8-4A51-91CC-93E021CA1098}">
  <dimension ref="A1:I12"/>
  <sheetViews>
    <sheetView showGridLines="0" workbookViewId="0">
      <selection activeCell="E14" sqref="E14"/>
    </sheetView>
  </sheetViews>
  <sheetFormatPr defaultColWidth="9.140625" defaultRowHeight="15"/>
  <cols>
    <col min="1" max="1" width="10.42578125" customWidth="1"/>
    <col min="3" max="3" width="9.140625" customWidth="1"/>
    <col min="14" max="14" width="12.85546875" customWidth="1"/>
    <col min="16" max="16" width="9.85546875" customWidth="1"/>
  </cols>
  <sheetData>
    <row r="1" spans="1:9">
      <c r="A1" s="40" t="s">
        <v>98</v>
      </c>
      <c r="B1" s="40"/>
      <c r="C1" s="40"/>
      <c r="D1" s="40"/>
    </row>
    <row r="2" spans="1:9">
      <c r="A2" s="42" t="s">
        <v>95</v>
      </c>
      <c r="B2" s="42"/>
      <c r="C2" s="42"/>
      <c r="D2" s="42"/>
    </row>
    <row r="3" spans="1:9">
      <c r="A3" s="8"/>
      <c r="I3" s="17" t="s">
        <v>97</v>
      </c>
    </row>
    <row r="4" spans="1:9">
      <c r="C4" s="36" t="s">
        <v>96</v>
      </c>
      <c r="D4" s="15" t="s">
        <v>16</v>
      </c>
      <c r="E4" s="15" t="s">
        <v>17</v>
      </c>
      <c r="F4" s="15" t="s">
        <v>18</v>
      </c>
      <c r="G4" s="16" t="s">
        <v>21</v>
      </c>
    </row>
    <row r="5" spans="1:9">
      <c r="A5" t="s">
        <v>14</v>
      </c>
      <c r="C5" s="5">
        <v>1</v>
      </c>
      <c r="D5" s="14">
        <f>SIN(C5)^2/(2+2*C5)</f>
        <v>0.17701835456839279</v>
      </c>
      <c r="E5" s="14">
        <f>(2*COS(C5^2)+2*C5)/TAN(2*C5)</f>
        <v>-1.4098619725582435</v>
      </c>
      <c r="F5" s="14">
        <f>SQRT(3*C5)+2*C5</f>
        <v>3.7320508075688772</v>
      </c>
      <c r="G5" s="14">
        <f>POWER(2+2*C5,1/3)*3*C5</f>
        <v>4.7622031559045981</v>
      </c>
    </row>
    <row r="6" spans="1:9">
      <c r="C6" s="5">
        <v>2</v>
      </c>
      <c r="D6" s="14">
        <f t="shared" ref="D6:D12" si="0">SIN(C6)^2/(2+2*C6)</f>
        <v>0.13780363507196766</v>
      </c>
      <c r="E6" s="14">
        <f t="shared" ref="E6:E12" si="1">(2*COS(C6^2)+2*C6)/TAN(2*C6)</f>
        <v>2.3256721907965185</v>
      </c>
      <c r="F6" s="14">
        <f t="shared" ref="F6:F12" si="2">SQRT(3*C6)+2*C6</f>
        <v>6.4494897427831779</v>
      </c>
      <c r="G6" s="14">
        <f t="shared" ref="G6:G12" si="3">POWER(2+2*C6,1/3)*3*C6</f>
        <v>10.902723556992838</v>
      </c>
    </row>
    <row r="7" spans="1:9">
      <c r="C7" s="5">
        <v>3</v>
      </c>
      <c r="D7" s="14">
        <f t="shared" si="0"/>
        <v>2.4893570843521236E-3</v>
      </c>
      <c r="E7" s="14">
        <f t="shared" si="1"/>
        <v>-14.356187599827095</v>
      </c>
      <c r="F7" s="14">
        <f t="shared" si="2"/>
        <v>9</v>
      </c>
      <c r="G7" s="14">
        <f t="shared" si="3"/>
        <v>17.999999999999996</v>
      </c>
    </row>
    <row r="8" spans="1:9">
      <c r="A8" t="s">
        <v>15</v>
      </c>
      <c r="C8" s="5">
        <v>4</v>
      </c>
      <c r="D8" s="14">
        <f t="shared" si="0"/>
        <v>5.727500169043067E-2</v>
      </c>
      <c r="E8" s="14">
        <f t="shared" si="1"/>
        <v>-0.89484400616467419</v>
      </c>
      <c r="F8" s="14">
        <f t="shared" si="2"/>
        <v>11.464101615137753</v>
      </c>
      <c r="G8" s="14">
        <f t="shared" si="3"/>
        <v>25.853216280382604</v>
      </c>
    </row>
    <row r="9" spans="1:9">
      <c r="C9" s="5">
        <v>5</v>
      </c>
      <c r="D9" s="14">
        <f t="shared" si="0"/>
        <v>7.6627980378185509E-2</v>
      </c>
      <c r="E9" s="14">
        <f t="shared" si="1"/>
        <v>18.481075839645897</v>
      </c>
      <c r="F9" s="14">
        <f t="shared" si="2"/>
        <v>13.872983346207416</v>
      </c>
      <c r="G9" s="14">
        <f t="shared" si="3"/>
        <v>34.341427276599958</v>
      </c>
    </row>
    <row r="10" spans="1:9">
      <c r="A10" t="s">
        <v>19</v>
      </c>
      <c r="C10" s="5">
        <v>6</v>
      </c>
      <c r="D10" s="14">
        <f t="shared" si="0"/>
        <v>5.576644330982425E-3</v>
      </c>
      <c r="E10" s="14">
        <f t="shared" si="1"/>
        <v>-18.469590693449177</v>
      </c>
      <c r="F10" s="14">
        <f t="shared" si="2"/>
        <v>16.242640687119284</v>
      </c>
      <c r="G10" s="14">
        <f t="shared" si="3"/>
        <v>43.382560755154131</v>
      </c>
    </row>
    <row r="11" spans="1:9">
      <c r="C11" s="5">
        <v>7</v>
      </c>
      <c r="D11" s="14">
        <f t="shared" si="0"/>
        <v>2.6976961931005197E-2</v>
      </c>
      <c r="E11" s="14">
        <f t="shared" si="1"/>
        <v>2.0154558917041685</v>
      </c>
      <c r="F11" s="14">
        <f t="shared" si="2"/>
        <v>18.582575694955839</v>
      </c>
      <c r="G11" s="14">
        <f t="shared" si="3"/>
        <v>52.916684095584664</v>
      </c>
    </row>
    <row r="12" spans="1:9">
      <c r="A12" t="s">
        <v>20</v>
      </c>
      <c r="C12" s="5">
        <v>8</v>
      </c>
      <c r="D12" s="14">
        <f t="shared" si="0"/>
        <v>5.4379430008982904E-2</v>
      </c>
      <c r="E12" s="14">
        <f t="shared" si="1"/>
        <v>55.828058720077742</v>
      </c>
      <c r="F12" s="14">
        <f t="shared" si="2"/>
        <v>20.898979485566358</v>
      </c>
      <c r="G12" s="14">
        <f t="shared" si="3"/>
        <v>62.897793461013514</v>
      </c>
    </row>
  </sheetData>
  <mergeCells count="2">
    <mergeCell ref="A2:D2"/>
    <mergeCell ref="A1: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471dce6-e48c-4a5e-b202-ee3273149f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B1D2A8B19B1A4EA212F1B9F62FAF76" ma:contentTypeVersion="1" ma:contentTypeDescription="Utwórz nowy dokument." ma:contentTypeScope="" ma:versionID="ed1fd0360ae7aaff82aa24d3101ee7f3">
  <xsd:schema xmlns:xsd="http://www.w3.org/2001/XMLSchema" xmlns:xs="http://www.w3.org/2001/XMLSchema" xmlns:p="http://schemas.microsoft.com/office/2006/metadata/properties" xmlns:ns2="5471dce6-e48c-4a5e-b202-ee3273149f5f" targetNamespace="http://schemas.microsoft.com/office/2006/metadata/properties" ma:root="true" ma:fieldsID="068cc165e4930f01e4b0725a7ceba1bd" ns2:_="">
    <xsd:import namespace="5471dce6-e48c-4a5e-b202-ee3273149f5f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1dce6-e48c-4a5e-b202-ee3273149f5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A88BDE-A9DB-4BFF-8EE4-86217EA367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43D6FB-D046-4CB8-9790-5A3A5F5B3859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5471dce6-e48c-4a5e-b202-ee3273149f5f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A019CB-E26E-435E-B4C1-D1735B062C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1dce6-e48c-4a5e-b202-ee3273149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Basics</vt:lpstr>
      <vt:lpstr>Flashfill</vt:lpstr>
      <vt:lpstr>Table formula</vt:lpstr>
      <vt:lpstr>Transposition</vt:lpstr>
      <vt:lpstr>TextToColumns</vt:lpstr>
      <vt:lpstr>Conditional formatting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2025-10-15T12:57:11Z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0x0101007AB1D2A8B19B1A4EA212F1B9F62FAF76</vt:lpwstr>
  </property>
  <property fmtid="{D5CDD505-2E9C-101B-9397-08002B2CF9AE}" pid="3" name="Order">
    <vt:r8>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