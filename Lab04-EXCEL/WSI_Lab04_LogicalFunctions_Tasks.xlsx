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C:\Users\s35066\Desktop\"/>
    </mc:Choice>
  </mc:AlternateContent>
  <xr:revisionPtr revIDLastSave="0" documentId="8_{29268A84-AAB7-4BCB-90A5-D277B5983943}" xr6:coauthVersionLast="36" xr6:coauthVersionMax="36" xr10:uidLastSave="{00000000-0000-0000-0000-000000000000}"/>
  <bookViews>
    <workbookView xWindow="0" yWindow="0" windowWidth="28800" windowHeight="12105" tabRatio="843" activeTab="6" xr2:uid="{00000000-000D-0000-FFFF-FFFF00000000}"/>
  </bookViews>
  <sheets>
    <sheet name="Basics" sheetId="1" r:id="rId1"/>
    <sheet name="Errors" sheetId="2" r:id="rId2"/>
    <sheet name="Citizenship" sheetId="7" r:id="rId3"/>
    <sheet name="Restaurants" sheetId="3" r:id="rId4"/>
    <sheet name="Flowchart" sheetId="6" r:id="rId5"/>
    <sheet name="Stock exchange shares" sheetId="4" r:id="rId6"/>
    <sheet name="Employee salaries" sheetId="5" r:id="rId7"/>
    <sheet name="Gaming tournament" sheetId="8" r:id="rId8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2" roundtripDataChecksum="0n83fGwjerMbBpZE+a0SHS58Hk9sXg0gcS46emDpq3I="/>
    </ext>
  </extLst>
</workbook>
</file>

<file path=xl/calcChain.xml><?xml version="1.0" encoding="utf-8"?>
<calcChain xmlns="http://schemas.openxmlformats.org/spreadsheetml/2006/main">
  <c r="J15" i="5" l="1"/>
  <c r="J16" i="5"/>
  <c r="J17" i="5"/>
  <c r="J18" i="5"/>
  <c r="J19" i="5"/>
  <c r="J20" i="5"/>
  <c r="J21" i="5"/>
  <c r="J22" i="5"/>
  <c r="J14" i="5"/>
  <c r="I15" i="5"/>
  <c r="I16" i="5"/>
  <c r="I17" i="5"/>
  <c r="I18" i="5"/>
  <c r="I19" i="5"/>
  <c r="I20" i="5"/>
  <c r="I21" i="5"/>
  <c r="I22" i="5"/>
  <c r="I14" i="5"/>
  <c r="H15" i="5"/>
  <c r="H16" i="5"/>
  <c r="H17" i="5"/>
  <c r="H18" i="5"/>
  <c r="H19" i="5"/>
  <c r="H20" i="5"/>
  <c r="H21" i="5"/>
  <c r="H22" i="5"/>
  <c r="H14" i="5"/>
  <c r="G15" i="5"/>
  <c r="G16" i="5"/>
  <c r="G17" i="5"/>
  <c r="G18" i="5"/>
  <c r="G19" i="5"/>
  <c r="G20" i="5"/>
  <c r="G21" i="5"/>
  <c r="G22" i="5"/>
  <c r="F15" i="5"/>
  <c r="F16" i="5"/>
  <c r="F17" i="5"/>
  <c r="F18" i="5"/>
  <c r="F19" i="5"/>
  <c r="F20" i="5"/>
  <c r="F21" i="5"/>
  <c r="F22" i="5"/>
  <c r="F14" i="5"/>
  <c r="G14" i="5"/>
  <c r="F39" i="8"/>
  <c r="B3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J19" i="8"/>
  <c r="I19" i="8"/>
  <c r="H19" i="8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7" i="4"/>
  <c r="B8" i="6"/>
  <c r="B11" i="3"/>
  <c r="I1" i="3"/>
  <c r="B6" i="3"/>
  <c r="F17" i="7"/>
  <c r="F8" i="7"/>
  <c r="F9" i="7"/>
  <c r="F10" i="7"/>
  <c r="F11" i="7"/>
  <c r="F12" i="7"/>
  <c r="F13" i="7"/>
  <c r="F14" i="7"/>
  <c r="F15" i="7"/>
  <c r="F16" i="7"/>
  <c r="F7" i="7"/>
  <c r="E8" i="7"/>
  <c r="E9" i="7"/>
  <c r="E10" i="7"/>
  <c r="E11" i="7"/>
  <c r="E12" i="7"/>
  <c r="E13" i="7"/>
  <c r="E14" i="7"/>
  <c r="E15" i="7"/>
  <c r="E16" i="7"/>
  <c r="E17" i="7"/>
  <c r="E7" i="7"/>
  <c r="D8" i="7"/>
  <c r="D9" i="7"/>
  <c r="D10" i="7"/>
  <c r="D11" i="7"/>
  <c r="D12" i="7"/>
  <c r="D13" i="7"/>
  <c r="D14" i="7"/>
  <c r="D15" i="7"/>
  <c r="D16" i="7"/>
  <c r="D17" i="7"/>
  <c r="D7" i="7"/>
  <c r="D8" i="2"/>
  <c r="D9" i="2"/>
  <c r="D10" i="2"/>
  <c r="D11" i="2"/>
  <c r="D7" i="2"/>
  <c r="B8" i="2"/>
  <c r="B9" i="2"/>
  <c r="B10" i="2"/>
  <c r="B11" i="2"/>
  <c r="B7" i="2"/>
  <c r="J22" i="1"/>
  <c r="J23" i="1"/>
  <c r="J21" i="1"/>
  <c r="I22" i="1"/>
  <c r="I23" i="1"/>
  <c r="I21" i="1"/>
  <c r="C23" i="1"/>
  <c r="C24" i="1"/>
  <c r="C25" i="1"/>
  <c r="C26" i="1"/>
  <c r="C27" i="1"/>
  <c r="C28" i="1"/>
  <c r="C29" i="1"/>
  <c r="C30" i="1"/>
  <c r="C31" i="1"/>
  <c r="C22" i="1"/>
  <c r="I8" i="1"/>
  <c r="I9" i="1"/>
  <c r="I10" i="1"/>
  <c r="I11" i="1"/>
  <c r="I12" i="1"/>
  <c r="I13" i="1"/>
  <c r="I14" i="1"/>
  <c r="I7" i="1"/>
  <c r="C7" i="1"/>
  <c r="C8" i="1"/>
  <c r="C9" i="1"/>
  <c r="C10" i="1"/>
  <c r="C11" i="1"/>
  <c r="C12" i="1"/>
  <c r="C13" i="1"/>
  <c r="C14" i="1"/>
  <c r="C6" i="1"/>
  <c r="C7" i="2" l="1" a="1"/>
  <c r="C7" i="2" s="1"/>
  <c r="C11" i="2" a="1"/>
  <c r="C11" i="2" s="1"/>
  <c r="C10" i="2" a="1"/>
  <c r="C10" i="2" s="1"/>
  <c r="C9" i="2" a="1"/>
  <c r="C9" i="2" s="1"/>
  <c r="C8" i="2" a="1"/>
  <c r="C8" i="2" s="1"/>
  <c r="E22" i="5"/>
  <c r="E21" i="5"/>
  <c r="E20" i="5"/>
  <c r="E19" i="5"/>
  <c r="E18" i="5"/>
  <c r="E17" i="5"/>
  <c r="E16" i="5"/>
  <c r="E15" i="5"/>
  <c r="E14" i="5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A10" i="2"/>
  <c r="A9" i="2"/>
  <c r="A8" i="2"/>
  <c r="A7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<sst xmlns="http://schemas.openxmlformats.org/spreadsheetml/2006/main" count="297" uniqueCount="209">
  <si>
    <t>Task 1 Simple IF</t>
  </si>
  <si>
    <t>Task 2 Nested IF</t>
  </si>
  <si>
    <r>
      <t xml:space="preserve">Write a formula using the IF function that will write in the </t>
    </r>
    <r>
      <rPr>
        <b/>
        <sz val="11"/>
        <color theme="1"/>
        <rFont val="Calibri"/>
        <family val="2"/>
        <charset val="238"/>
      </rPr>
      <t>Passing</t>
    </r>
    <r>
      <rPr>
        <sz val="11"/>
        <color theme="1"/>
        <rFont val="Calibri"/>
      </rPr>
      <t xml:space="preserve"> column: "passing" if the total number of points is &gt;= 50 or "itn" if it is less than 50.</t>
    </r>
  </si>
  <si>
    <r>
      <t xml:space="preserve">Write a formula using a nested IF function that will print "positive", "negative", or "zero" in the </t>
    </r>
    <r>
      <rPr>
        <b/>
        <sz val="11"/>
        <color theme="1"/>
        <rFont val="Calibri"/>
        <family val="2"/>
        <charset val="238"/>
      </rPr>
      <t>In Words</t>
    </r>
    <r>
      <rPr>
        <sz val="11"/>
        <color theme="1"/>
        <rFont val="Calibri"/>
        <family val="2"/>
        <charset val="238"/>
      </rPr>
      <t xml:space="preserve"> column, depending on the numeric value in the adjacent column.</t>
    </r>
  </si>
  <si>
    <t>Ska</t>
  </si>
  <si>
    <t>Total points</t>
  </si>
  <si>
    <t>Passing</t>
  </si>
  <si>
    <t>s15734</t>
  </si>
  <si>
    <t>Number</t>
  </si>
  <si>
    <t>In Words</t>
  </si>
  <si>
    <t>s16870</t>
  </si>
  <si>
    <t>s16280</t>
  </si>
  <si>
    <t>s19445</t>
  </si>
  <si>
    <t>s14453</t>
  </si>
  <si>
    <t>s15777</t>
  </si>
  <si>
    <t>s14353</t>
  </si>
  <si>
    <t>s14676</t>
  </si>
  <si>
    <t>s17856</t>
  </si>
  <si>
    <t>Task 3 IFS Conditions</t>
  </si>
  <si>
    <t>Task 4 AND and OR functions</t>
  </si>
  <si>
    <r>
      <t xml:space="preserve">Write a formula using the IFS function that will print "Very good", "Good", "Fair", or "Insufficient" in the </t>
    </r>
    <r>
      <rPr>
        <b/>
        <sz val="11"/>
        <color theme="1"/>
        <rFont val="Calibri"/>
        <family val="2"/>
        <charset val="238"/>
      </rPr>
      <t>In Words</t>
    </r>
    <r>
      <rPr>
        <sz val="11"/>
        <color theme="1"/>
        <rFont val="Calibri"/>
        <family val="2"/>
        <charset val="238"/>
      </rPr>
      <t xml:space="preserve"> column, depending on the value in the </t>
    </r>
    <r>
      <rPr>
        <b/>
        <sz val="11"/>
        <color theme="1"/>
        <rFont val="Calibri"/>
        <family val="2"/>
        <charset val="238"/>
      </rPr>
      <t>Grade</t>
    </r>
    <r>
      <rPr>
        <sz val="11"/>
        <color theme="1"/>
        <rFont val="Calibri"/>
        <family val="2"/>
        <charset val="238"/>
      </rPr>
      <t xml:space="preserve"> column.</t>
    </r>
  </si>
  <si>
    <r>
      <t xml:space="preserve">Complete the table so that it displays TRUE/FALSE in the </t>
    </r>
    <r>
      <rPr>
        <b/>
        <sz val="11"/>
        <color theme="1"/>
        <rFont val="Calibri"/>
        <family val="2"/>
        <charset val="238"/>
      </rPr>
      <t>AND/OR</t>
    </r>
    <r>
      <rPr>
        <sz val="11"/>
        <color theme="1"/>
        <rFont val="Calibri"/>
        <family val="2"/>
        <charset val="238"/>
      </rPr>
      <t xml:space="preserve"> columns using the AND and OR functions.</t>
    </r>
  </si>
  <si>
    <t>Logical_1</t>
  </si>
  <si>
    <t>Logical_2</t>
  </si>
  <si>
    <t>AND</t>
  </si>
  <si>
    <t>OR</t>
  </si>
  <si>
    <t>Student</t>
  </si>
  <si>
    <t>Grade</t>
  </si>
  <si>
    <t>s18803</t>
  </si>
  <si>
    <t>Task 5 IFERROR/IFNA</t>
  </si>
  <si>
    <r>
      <t xml:space="preserve">In the </t>
    </r>
    <r>
      <rPr>
        <b/>
        <sz val="11"/>
        <color theme="1"/>
        <rFont val="Calibri"/>
        <family val="2"/>
        <charset val="238"/>
      </rPr>
      <t>Handled Errors</t>
    </r>
    <r>
      <rPr>
        <sz val="11"/>
        <color theme="1"/>
        <rFont val="Calibri"/>
        <family val="2"/>
        <charset val="238"/>
      </rPr>
      <t xml:space="preserve"> column, use the IFERROR() function to replace the DIV/0! error with 0. And in the </t>
    </r>
    <r>
      <rPr>
        <b/>
        <sz val="11"/>
        <color theme="1"/>
        <rFont val="Calibri"/>
        <family val="2"/>
        <charset val="238"/>
      </rPr>
      <t>Handled N/A</t>
    </r>
    <r>
      <rPr>
        <sz val="11"/>
        <color theme="1"/>
        <rFont val="Calibri"/>
        <family val="2"/>
        <charset val="238"/>
      </rPr>
      <t xml:space="preserve"> column, use the IFNA() function to replace N/A with the "missing condition"</t>
    </r>
  </si>
  <si>
    <t>List of errors</t>
  </si>
  <si>
    <t>Handled Errors</t>
  </si>
  <si>
    <t>Conditions</t>
  </si>
  <si>
    <t>Handled N/A</t>
  </si>
  <si>
    <t>Expected result:</t>
  </si>
  <si>
    <t>Task 6 Citizenship</t>
  </si>
  <si>
    <t>Using the AND, OR, and NOT functions, complete the table below. Write true/false as appropriate.</t>
  </si>
  <si>
    <t>Person</t>
  </si>
  <si>
    <t>Citizenship</t>
  </si>
  <si>
    <t>Polish or US citizen</t>
  </si>
  <si>
    <t>Not a US citizen</t>
  </si>
  <si>
    <t>Main</t>
  </si>
  <si>
    <t>Additional</t>
  </si>
  <si>
    <t>P001</t>
  </si>
  <si>
    <t>Polish</t>
  </si>
  <si>
    <t>American</t>
  </si>
  <si>
    <t>P002</t>
  </si>
  <si>
    <t>Ukrainian</t>
  </si>
  <si>
    <t>German</t>
  </si>
  <si>
    <t>P003</t>
  </si>
  <si>
    <t>British</t>
  </si>
  <si>
    <t>P004</t>
  </si>
  <si>
    <t>P005</t>
  </si>
  <si>
    <t>P006</t>
  </si>
  <si>
    <t>P007</t>
  </si>
  <si>
    <t>P008</t>
  </si>
  <si>
    <t>Canadian</t>
  </si>
  <si>
    <t>P009</t>
  </si>
  <si>
    <t>French</t>
  </si>
  <si>
    <t>P010</t>
  </si>
  <si>
    <t>P011</t>
  </si>
  <si>
    <t>Spanish</t>
  </si>
  <si>
    <t>Task 7 Visits to restaurants</t>
  </si>
  <si>
    <t>History of restaurant visits</t>
  </si>
  <si>
    <t>Date</t>
  </si>
  <si>
    <t>Restaurant</t>
  </si>
  <si>
    <t>Bill</t>
  </si>
  <si>
    <t>SUMIF</t>
  </si>
  <si>
    <t>Mellow Mood</t>
  </si>
  <si>
    <r>
      <t xml:space="preserve">Use the SUMIF function to calculate how much we spent at </t>
    </r>
    <r>
      <rPr>
        <i/>
        <sz val="11"/>
        <color theme="1"/>
        <rFont val="Calibri"/>
        <family val="2"/>
        <charset val="238"/>
      </rPr>
      <t>Duck restaurant</t>
    </r>
    <r>
      <rPr>
        <sz val="11"/>
        <color theme="1"/>
        <rFont val="Calibri"/>
        <family val="2"/>
        <charset val="238"/>
      </rPr>
      <t>?</t>
    </r>
  </si>
  <si>
    <t>Duck restaurant</t>
  </si>
  <si>
    <t>Salt &amp; Savory</t>
  </si>
  <si>
    <t>Cost:</t>
  </si>
  <si>
    <t>The Royal Bistro</t>
  </si>
  <si>
    <t>Elysian Table</t>
  </si>
  <si>
    <t>COUNTIF</t>
  </si>
  <si>
    <t>Silver Oak Dining</t>
  </si>
  <si>
    <r>
      <t xml:space="preserve">Use the COUNTIF function to calculate how many times we have been to </t>
    </r>
    <r>
      <rPr>
        <i/>
        <sz val="11"/>
        <color theme="1"/>
        <rFont val="Calibri"/>
        <family val="2"/>
        <charset val="238"/>
      </rPr>
      <t>Duck restaurant</t>
    </r>
    <r>
      <rPr>
        <sz val="11"/>
        <color theme="1"/>
        <rFont val="Calibri"/>
        <family val="2"/>
        <charset val="238"/>
      </rPr>
      <t>?</t>
    </r>
  </si>
  <si>
    <t>Holy Smokes BBQ</t>
  </si>
  <si>
    <t>Sunset Hearth</t>
  </si>
  <si>
    <t>Number of visits:</t>
  </si>
  <si>
    <t>Sushi &amp; Tacos</t>
  </si>
  <si>
    <t>Urban Harvest</t>
  </si>
  <si>
    <t>Nomad’s Nook</t>
  </si>
  <si>
    <t>Task 8 Flowchart</t>
  </si>
  <si>
    <r>
      <t xml:space="preserve">In the </t>
    </r>
    <r>
      <rPr>
        <b/>
        <sz val="11"/>
        <color theme="9"/>
        <rFont val="Calibri"/>
        <family val="2"/>
        <charset val="238"/>
      </rPr>
      <t>green</t>
    </r>
    <r>
      <rPr>
        <sz val="11"/>
        <color theme="1"/>
        <rFont val="Calibri"/>
        <family val="2"/>
        <charset val="238"/>
      </rPr>
      <t xml:space="preserve"> box, enter the appropriate text based on the value in the </t>
    </r>
    <r>
      <rPr>
        <b/>
        <sz val="11"/>
        <color theme="4"/>
        <rFont val="Calibri"/>
        <family val="2"/>
        <charset val="238"/>
      </rPr>
      <t>blue</t>
    </r>
    <r>
      <rPr>
        <sz val="11"/>
        <color theme="1"/>
        <rFont val="Calibri"/>
        <family val="2"/>
        <charset val="238"/>
      </rPr>
      <t xml:space="preserve"> box. The output should match the flow shown in the flowchart.</t>
    </r>
  </si>
  <si>
    <t>Number:</t>
  </si>
  <si>
    <t>Output:</t>
  </si>
  <si>
    <t>Task 9 Stock exchange shares</t>
  </si>
  <si>
    <t>Stock market</t>
  </si>
  <si>
    <t>Risk levels</t>
  </si>
  <si>
    <t>Share</t>
  </si>
  <si>
    <t>Price 16.10</t>
  </si>
  <si>
    <t>Price 17.10</t>
  </si>
  <si>
    <t>Change</t>
  </si>
  <si>
    <t>Risk</t>
  </si>
  <si>
    <t>AURL</t>
  </si>
  <si>
    <t>between -0.5% and +0.5%</t>
  </si>
  <si>
    <t>Low risk</t>
  </si>
  <si>
    <t>GCE</t>
  </si>
  <si>
    <t>between ±0.5% and ±2%</t>
  </si>
  <si>
    <t>Moderate risk</t>
  </si>
  <si>
    <t>NVGN</t>
  </si>
  <si>
    <t>greater than ±2%</t>
  </si>
  <si>
    <t>High risk</t>
  </si>
  <si>
    <t>IPMK</t>
  </si>
  <si>
    <t>BLOR</t>
  </si>
  <si>
    <t>QPSY</t>
  </si>
  <si>
    <t>EVSF</t>
  </si>
  <si>
    <t>HLXF</t>
  </si>
  <si>
    <t>SLRN</t>
  </si>
  <si>
    <t>OMNX</t>
  </si>
  <si>
    <t>TRNV</t>
  </si>
  <si>
    <t>BWVM</t>
  </si>
  <si>
    <t>APXN</t>
  </si>
  <si>
    <t>LMNH</t>
  </si>
  <si>
    <t>NPTC</t>
  </si>
  <si>
    <t>FRBG</t>
  </si>
  <si>
    <t>SKHV</t>
  </si>
  <si>
    <t>CRVM</t>
  </si>
  <si>
    <t>URBE</t>
  </si>
  <si>
    <t>CSDW</t>
  </si>
  <si>
    <t>Task 10 Employee salaries</t>
  </si>
  <si>
    <t>Tax</t>
  </si>
  <si>
    <t>Complete the table below using logical functions.</t>
  </si>
  <si>
    <t>First tax threshold (&lt;=5000 PLN):</t>
  </si>
  <si>
    <t>Second tax threshold (&gt;5000 PLN):</t>
  </si>
  <si>
    <t>For example, for a salary of PLN 7,000, the tax is calculated as: PLN 5,000 * 12% + PLN 2,000 * 23% = PLN 1,060</t>
  </si>
  <si>
    <t>Rates</t>
  </si>
  <si>
    <t>Seniority (in years)</t>
  </si>
  <si>
    <t>Bonus</t>
  </si>
  <si>
    <t>Rate per hour:</t>
  </si>
  <si>
    <t>&gt;=5</t>
  </si>
  <si>
    <t>Education</t>
  </si>
  <si>
    <t>Bonus for each overtime hour:</t>
  </si>
  <si>
    <t>&gt;=10</t>
  </si>
  <si>
    <t>Engineer</t>
  </si>
  <si>
    <t>Basic hours:</t>
  </si>
  <si>
    <t>140h</t>
  </si>
  <si>
    <t>&gt;=15</t>
  </si>
  <si>
    <t>Master's Degree</t>
  </si>
  <si>
    <t>Overtime is anything over &gt;140 hours</t>
  </si>
  <si>
    <t>&gt;=20</t>
  </si>
  <si>
    <t>The bonus is calculated based on the basic salary</t>
  </si>
  <si>
    <t>Report for September 2025</t>
  </si>
  <si>
    <t>Employee</t>
  </si>
  <si>
    <t>Hours worked</t>
  </si>
  <si>
    <t>Basic salary</t>
  </si>
  <si>
    <t>Education Bonus</t>
  </si>
  <si>
    <t xml:space="preserve"> Seniority Bonus</t>
  </si>
  <si>
    <t>Overtime bonus</t>
  </si>
  <si>
    <t>Salary (gross)</t>
  </si>
  <si>
    <t>Salary (net)</t>
  </si>
  <si>
    <t>E1332</t>
  </si>
  <si>
    <t>None</t>
  </si>
  <si>
    <t>E1567</t>
  </si>
  <si>
    <t>E2315</t>
  </si>
  <si>
    <t>E4321</t>
  </si>
  <si>
    <t>E1286</t>
  </si>
  <si>
    <t>E1321</t>
  </si>
  <si>
    <t>E1565</t>
  </si>
  <si>
    <t>E2187</t>
  </si>
  <si>
    <t>E0975</t>
  </si>
  <si>
    <t>Salary (gross) is the basic salary + all bonuses</t>
  </si>
  <si>
    <t>Task 11 Gaming tournament</t>
  </si>
  <si>
    <r>
      <t xml:space="preserve">1. In column H, specify ("Advanced" or "Eliminated") whether the player </t>
    </r>
    <r>
      <rPr>
        <b/>
        <sz val="11"/>
        <color theme="1"/>
        <rFont val="Calibri"/>
        <family val="2"/>
        <charset val="238"/>
      </rPr>
      <t xml:space="preserve">advances to the semifinals </t>
    </r>
    <r>
      <rPr>
        <sz val="11"/>
        <color theme="1"/>
        <rFont val="Calibri"/>
        <family val="2"/>
        <charset val="238"/>
      </rPr>
      <t xml:space="preserve">(points &gt; 100).
2. In column I, specify ("Top Form" or "Average") whether the player has </t>
    </r>
    <r>
      <rPr>
        <b/>
        <sz val="11"/>
        <color theme="1"/>
        <rFont val="Calibri"/>
        <family val="2"/>
        <charset val="238"/>
      </rPr>
      <t>more than 3 wins and fewer than 2 losses</t>
    </r>
    <r>
      <rPr>
        <sz val="11"/>
        <color theme="1"/>
        <rFont val="Calibri"/>
        <family val="2"/>
        <charset val="238"/>
      </rPr>
      <t>.
3. In column J, the player</t>
    </r>
    <r>
      <rPr>
        <b/>
        <sz val="11"/>
        <color theme="1"/>
        <rFont val="Calibri"/>
        <family val="2"/>
        <charset val="238"/>
      </rPr>
      <t xml:space="preserve"> receives a bonus skin if they advance or have a bonus</t>
    </r>
    <r>
      <rPr>
        <sz val="11"/>
        <color theme="1"/>
        <rFont val="Calibri"/>
        <family val="2"/>
        <charset val="238"/>
      </rPr>
      <t xml:space="preserve"> (Bonus = YES).
4. In column K, the player receives extra points ("Extra Points" or "None") if they have a </t>
    </r>
    <r>
      <rPr>
        <b/>
        <sz val="11"/>
        <color theme="1"/>
        <rFont val="Calibri"/>
        <family val="2"/>
        <charset val="238"/>
      </rPr>
      <t>bonus but do not advance, or vice versa</t>
    </r>
    <r>
      <rPr>
        <sz val="11"/>
        <color theme="1"/>
        <rFont val="Calibri"/>
        <family val="2"/>
        <charset val="238"/>
      </rPr>
      <t xml:space="preserve">.
5. In column L, specify ("Other Region" or "EU") whether the player </t>
    </r>
    <r>
      <rPr>
        <b/>
        <sz val="11"/>
        <color theme="1"/>
        <rFont val="Calibri"/>
        <family val="2"/>
        <charset val="238"/>
      </rPr>
      <t>is not from the EU region</t>
    </r>
    <r>
      <rPr>
        <sz val="11"/>
        <color theme="1"/>
        <rFont val="Calibri"/>
        <family val="2"/>
        <charset val="238"/>
      </rPr>
      <t xml:space="preserve">. 
6. Assign a player </t>
    </r>
    <r>
      <rPr>
        <b/>
        <sz val="11"/>
        <color theme="1"/>
        <rFont val="Calibri"/>
        <family val="2"/>
        <charset val="238"/>
      </rPr>
      <t>class based on their points</t>
    </r>
    <r>
      <rPr>
        <sz val="11"/>
        <color theme="1"/>
        <rFont val="Calibri"/>
        <family val="2"/>
        <charset val="238"/>
      </rPr>
      <t xml:space="preserve">:
  •   ≥120 → "Master" 
  •   ≥90 → "Pro"
  •   ≥60 → "Amateur"
  •   &lt;60 → "Novice"
7. In the M column, calculate the </t>
    </r>
    <r>
      <rPr>
        <b/>
        <sz val="11"/>
        <color theme="1"/>
        <rFont val="Calibri"/>
        <family val="2"/>
        <charset val="238"/>
      </rPr>
      <t>average points per win</t>
    </r>
    <r>
      <rPr>
        <sz val="11"/>
        <color theme="1"/>
        <rFont val="Calibri"/>
        <family val="2"/>
        <charset val="238"/>
      </rPr>
      <t xml:space="preserve">. If a player </t>
    </r>
    <r>
      <rPr>
        <b/>
        <sz val="11"/>
        <color theme="1"/>
        <rFont val="Calibri"/>
        <family val="2"/>
        <charset val="238"/>
      </rPr>
      <t>has 0 wins</t>
    </r>
    <r>
      <rPr>
        <sz val="11"/>
        <color theme="1"/>
        <rFont val="Calibri"/>
        <family val="2"/>
        <charset val="238"/>
      </rPr>
      <t>, show "No Data."
8. Under the "Points" column, count</t>
    </r>
    <r>
      <rPr>
        <b/>
        <sz val="11"/>
        <color theme="1"/>
        <rFont val="Calibri"/>
        <family val="2"/>
        <charset val="238"/>
      </rPr>
      <t xml:space="preserve"> how many players have more than 100 points</t>
    </r>
    <r>
      <rPr>
        <sz val="11"/>
        <color theme="1"/>
        <rFont val="Calibri"/>
        <family val="2"/>
        <charset val="238"/>
      </rPr>
      <t xml:space="preserve">.
9. Under the "Region" column, calculate </t>
    </r>
    <r>
      <rPr>
        <b/>
        <sz val="11"/>
        <color theme="1"/>
        <rFont val="Calibri"/>
        <family val="2"/>
        <charset val="238"/>
      </rPr>
      <t>the total points of players in the "EU" region</t>
    </r>
    <r>
      <rPr>
        <sz val="11"/>
        <color theme="1"/>
        <rFont val="Calibri"/>
        <family val="2"/>
        <charset val="238"/>
      </rPr>
      <t>.</t>
    </r>
  </si>
  <si>
    <t>Player</t>
  </si>
  <si>
    <t>Points</t>
  </si>
  <si>
    <t>Victories</t>
  </si>
  <si>
    <t>Defeats</t>
  </si>
  <si>
    <t>Region</t>
  </si>
  <si>
    <t>Player Class</t>
  </si>
  <si>
    <t>Promotion</t>
  </si>
  <si>
    <t>Form</t>
  </si>
  <si>
    <t>Bonus skin</t>
  </si>
  <si>
    <t>Extra points</t>
  </si>
  <si>
    <t>EU region</t>
  </si>
  <si>
    <t>Avg. win points</t>
  </si>
  <si>
    <t>Alex</t>
  </si>
  <si>
    <t>YES</t>
  </si>
  <si>
    <t>EU</t>
  </si>
  <si>
    <t>Mira</t>
  </si>
  <si>
    <t>NO</t>
  </si>
  <si>
    <t>SA</t>
  </si>
  <si>
    <t>Leon</t>
  </si>
  <si>
    <t>NA</t>
  </si>
  <si>
    <t>Sam</t>
  </si>
  <si>
    <t>AS</t>
  </si>
  <si>
    <t>Eva</t>
  </si>
  <si>
    <t>Noel</t>
  </si>
  <si>
    <t>Luna</t>
  </si>
  <si>
    <t>Kai</t>
  </si>
  <si>
    <t>Rina</t>
  </si>
  <si>
    <t>Theo</t>
  </si>
  <si>
    <t>Zara</t>
  </si>
  <si>
    <t>Owen</t>
  </si>
  <si>
    <t>Niko</t>
  </si>
  <si>
    <t>Ivy</t>
  </si>
  <si>
    <t>Jax</t>
  </si>
  <si>
    <t>Tara</t>
  </si>
  <si>
    <t>Liam</t>
  </si>
  <si>
    <t>Nova</t>
  </si>
  <si>
    <t>Max</t>
  </si>
  <si>
    <t>Ella</t>
  </si>
  <si>
    <t>Players w/ &lt;100 points:</t>
  </si>
  <si>
    <t>EU players:</t>
  </si>
  <si>
    <r>
      <t xml:space="preserve">In the </t>
    </r>
    <r>
      <rPr>
        <b/>
        <sz val="11"/>
        <color theme="1"/>
        <rFont val="Calibri"/>
        <family val="2"/>
        <charset val="238"/>
      </rPr>
      <t>Risk</t>
    </r>
    <r>
      <rPr>
        <sz val="11"/>
        <color theme="1"/>
        <rFont val="Calibri"/>
        <family val="2"/>
        <charset val="238"/>
      </rPr>
      <t xml:space="preserve"> column, write down “Low risk,” “Moderate risk,” or “High risk,” as appropriate, depending on the percentage change in the stock’s value.</t>
    </r>
  </si>
  <si>
    <t>Citizen of Poland and the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</si>
</sst>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zł&quot;"/>
    <numFmt numFmtId="165" formatCode="_-* #,##0.00\ [$zł-415]_-;\-* #,##0.00\ [$zł-415]_-;_-* &quot;-&quot;??\ [$zł-415]_-;_-@"/>
    <numFmt numFmtId="166" formatCode="0.0%"/>
    <numFmt numFmtId="167" formatCode="_-* #,##0\ [$zł-415]_-;\-* #,##0\ [$zł-415]_-;_-* &quot;-&quot;??\ [$zł-415]_-;_-@"/>
    <numFmt numFmtId="168" formatCode="_-* #,##0\ &quot;zł&quot;_-;\-* #,##0\ &quot;zł&quot;_-;_-* &quot;-&quot;??\ &quot;zł&quot;_-;_-@"/>
  </numFmts>
  <fonts count="20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zcionka tekstu podstawowego"/>
    </font>
    <font>
      <b/>
      <sz val="16"/>
      <color theme="1"/>
      <name val="Calibri"/>
    </font>
    <font>
      <sz val="11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6"/>
      <color theme="1"/>
      <name val="Arial"/>
    </font>
    <font>
      <sz val="11"/>
      <color theme="1"/>
      <name val="Calibri"/>
      <family val="2"/>
      <charset val="238"/>
    </font>
    <font>
      <b/>
      <sz val="11"/>
      <color theme="4"/>
      <name val="Calibri"/>
      <family val="2"/>
      <charset val="238"/>
    </font>
    <font>
      <b/>
      <sz val="10"/>
      <color theme="1"/>
      <name val="Arial"/>
      <family val="2"/>
      <charset val="238"/>
    </font>
    <font>
      <b/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i/>
      <sz val="11"/>
      <color theme="1"/>
      <name val="Calibri"/>
      <family val="2"/>
      <charset val="238"/>
    </font>
    <font>
      <b/>
      <sz val="11"/>
      <color theme="9"/>
      <name val="Calibri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D2E9"/>
        <bgColor rgb="FFD9D2E9"/>
      </patternFill>
    </fill>
    <fill>
      <patternFill patternType="solid">
        <fgColor theme="4" tint="0.39997558519241921"/>
        <bgColor rgb="FFB4C6E7"/>
      </patternFill>
    </fill>
    <fill>
      <patternFill patternType="solid">
        <fgColor theme="9" tint="0.39997558519241921"/>
        <bgColor rgb="FFFC766C"/>
      </patternFill>
    </fill>
    <fill>
      <patternFill patternType="solid">
        <fgColor rgb="FFA2C4C9"/>
        <bgColor rgb="FFD9E2F3"/>
      </patternFill>
    </fill>
    <fill>
      <patternFill patternType="solid">
        <fgColor rgb="FFD0E0E3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rgb="FFA2C4C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4" xfId="0" applyFont="1" applyFill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14" fontId="4" fillId="5" borderId="5" xfId="0" applyNumberFormat="1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164" fontId="4" fillId="5" borderId="9" xfId="0" applyNumberFormat="1" applyFont="1" applyFill="1" applyBorder="1" applyAlignment="1">
      <alignment horizontal="center"/>
    </xf>
    <xf numFmtId="0" fontId="4" fillId="5" borderId="10" xfId="0" applyFont="1" applyFill="1" applyBorder="1"/>
    <xf numFmtId="14" fontId="4" fillId="5" borderId="11" xfId="0" applyNumberFormat="1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14" fontId="4" fillId="0" borderId="0" xfId="0" applyNumberFormat="1" applyFont="1"/>
    <xf numFmtId="1" fontId="4" fillId="0" borderId="0" xfId="0" applyNumberFormat="1" applyFont="1"/>
    <xf numFmtId="0" fontId="6" fillId="0" borderId="0" xfId="0" applyFont="1"/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 wrapText="1"/>
    </xf>
    <xf numFmtId="166" fontId="4" fillId="10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9" fontId="4" fillId="9" borderId="4" xfId="0" applyNumberFormat="1" applyFont="1" applyFill="1" applyBorder="1" applyAlignment="1">
      <alignment horizontal="center"/>
    </xf>
    <xf numFmtId="167" fontId="4" fillId="9" borderId="4" xfId="0" applyNumberFormat="1" applyFont="1" applyFill="1" applyBorder="1"/>
    <xf numFmtId="0" fontId="4" fillId="9" borderId="4" xfId="0" applyFont="1" applyFill="1" applyBorder="1" applyAlignment="1">
      <alignment horizontal="right"/>
    </xf>
    <xf numFmtId="0" fontId="4" fillId="5" borderId="4" xfId="0" applyFont="1" applyFill="1" applyBorder="1"/>
    <xf numFmtId="167" fontId="4" fillId="5" borderId="4" xfId="0" applyNumberFormat="1" applyFont="1" applyFill="1" applyBorder="1"/>
    <xf numFmtId="167" fontId="4" fillId="0" borderId="4" xfId="0" applyNumberFormat="1" applyFont="1" applyBorder="1"/>
    <xf numFmtId="0" fontId="4" fillId="0" borderId="4" xfId="0" applyFont="1" applyBorder="1"/>
    <xf numFmtId="0" fontId="8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8" fillId="12" borderId="14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horizontal="center" vertical="center"/>
    </xf>
    <xf numFmtId="0" fontId="13" fillId="0" borderId="0" xfId="0" applyFont="1"/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0" fontId="13" fillId="14" borderId="16" xfId="0" applyFont="1" applyFill="1" applyBorder="1" applyAlignment="1">
      <alignment horizontal="center"/>
    </xf>
    <xf numFmtId="0" fontId="5" fillId="15" borderId="15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vertical="center"/>
    </xf>
    <xf numFmtId="0" fontId="14" fillId="16" borderId="4" xfId="0" applyFont="1" applyFill="1" applyBorder="1" applyAlignment="1">
      <alignment horizontal="center" vertical="center"/>
    </xf>
    <xf numFmtId="0" fontId="0" fillId="0" borderId="10" xfId="0" applyBorder="1"/>
    <xf numFmtId="9" fontId="4" fillId="9" borderId="21" xfId="0" applyNumberFormat="1" applyFont="1" applyFill="1" applyBorder="1" applyAlignment="1">
      <alignment horizontal="center"/>
    </xf>
    <xf numFmtId="168" fontId="4" fillId="9" borderId="16" xfId="0" applyNumberFormat="1" applyFont="1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16" fillId="17" borderId="16" xfId="0" applyFont="1" applyFill="1" applyBorder="1" applyAlignment="1">
      <alignment horizontal="center"/>
    </xf>
    <xf numFmtId="0" fontId="0" fillId="15" borderId="16" xfId="0" applyFill="1" applyBorder="1"/>
    <xf numFmtId="0" fontId="0" fillId="0" borderId="16" xfId="0" applyBorder="1"/>
    <xf numFmtId="0" fontId="16" fillId="17" borderId="16" xfId="0" applyFont="1" applyFill="1" applyBorder="1"/>
    <xf numFmtId="0" fontId="14" fillId="4" borderId="4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4" borderId="10" xfId="0" applyFont="1" applyFill="1" applyBorder="1"/>
    <xf numFmtId="0" fontId="14" fillId="0" borderId="0" xfId="0" applyFont="1"/>
    <xf numFmtId="0" fontId="11" fillId="4" borderId="4" xfId="0" applyFont="1" applyFill="1" applyBorder="1" applyAlignment="1">
      <alignment horizontal="center"/>
    </xf>
    <xf numFmtId="0" fontId="11" fillId="9" borderId="4" xfId="0" applyFont="1" applyFill="1" applyBorder="1" applyAlignment="1">
      <alignment vertical="center" wrapText="1"/>
    </xf>
    <xf numFmtId="0" fontId="11" fillId="9" borderId="16" xfId="0" applyFont="1" applyFill="1" applyBorder="1"/>
    <xf numFmtId="0" fontId="11" fillId="5" borderId="4" xfId="0" applyFont="1" applyFill="1" applyBorder="1"/>
    <xf numFmtId="0" fontId="1" fillId="0" borderId="0" xfId="0" applyFont="1"/>
    <xf numFmtId="0" fontId="4" fillId="8" borderId="10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left" vertical="top" wrapText="1"/>
    </xf>
    <xf numFmtId="0" fontId="4" fillId="3" borderId="13" xfId="0" applyFont="1" applyFill="1" applyBorder="1" applyAlignment="1">
      <alignment horizontal="left" vertical="top" wrapText="1"/>
    </xf>
    <xf numFmtId="0" fontId="11" fillId="3" borderId="16" xfId="0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 wrapText="1"/>
    </xf>
    <xf numFmtId="0" fontId="14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7" xfId="0" applyFont="1" applyBorder="1"/>
    <xf numFmtId="0" fontId="14" fillId="2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8" xfId="0" applyFont="1" applyBorder="1"/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3" fillId="14" borderId="17" xfId="0" applyFont="1" applyFill="1" applyBorder="1" applyAlignment="1">
      <alignment horizontal="center" vertical="center" wrapText="1"/>
    </xf>
    <xf numFmtId="0" fontId="13" fillId="14" borderId="18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/>
    </xf>
    <xf numFmtId="0" fontId="13" fillId="14" borderId="17" xfId="0" applyFont="1" applyFill="1" applyBorder="1" applyAlignment="1">
      <alignment horizontal="center" vertical="center"/>
    </xf>
    <xf numFmtId="0" fontId="13" fillId="14" borderId="18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3" fillId="0" borderId="16" xfId="0" applyFont="1" applyBorder="1"/>
    <xf numFmtId="0" fontId="14" fillId="4" borderId="1" xfId="0" applyFont="1" applyFill="1" applyBorder="1" applyAlignment="1">
      <alignment horizontal="center"/>
    </xf>
    <xf numFmtId="0" fontId="17" fillId="0" borderId="2" xfId="0" applyFont="1" applyBorder="1"/>
    <xf numFmtId="0" fontId="17" fillId="0" borderId="3" xfId="0" applyFont="1" applyBorder="1"/>
    <xf numFmtId="0" fontId="14" fillId="3" borderId="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/>
    </xf>
    <xf numFmtId="0" fontId="7" fillId="11" borderId="2" xfId="0" applyFont="1" applyFill="1" applyBorder="1" applyAlignment="1">
      <alignment horizontal="left"/>
    </xf>
    <xf numFmtId="0" fontId="7" fillId="11" borderId="3" xfId="0" applyFont="1" applyFill="1" applyBorder="1" applyAlignment="1">
      <alignment horizontal="left"/>
    </xf>
    <xf numFmtId="0" fontId="1" fillId="11" borderId="16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left"/>
    </xf>
    <xf numFmtId="0" fontId="11" fillId="9" borderId="3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left"/>
    </xf>
    <xf numFmtId="0" fontId="11" fillId="9" borderId="23" xfId="0" applyFont="1" applyFill="1" applyBorder="1" applyAlignment="1">
      <alignment horizontal="left"/>
    </xf>
    <xf numFmtId="0" fontId="4" fillId="9" borderId="24" xfId="0" applyFont="1" applyFill="1" applyBorder="1" applyAlignment="1">
      <alignment horizontal="left"/>
    </xf>
    <xf numFmtId="0" fontId="4" fillId="9" borderId="25" xfId="0" applyFont="1" applyFill="1" applyBorder="1" applyAlignment="1">
      <alignment horizontal="left"/>
    </xf>
    <xf numFmtId="0" fontId="14" fillId="2" borderId="19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4" fillId="2" borderId="20" xfId="0" applyFont="1" applyFill="1" applyBorder="1" applyAlignment="1">
      <alignment horizontal="left" vertical="center"/>
    </xf>
    <xf numFmtId="164" fontId="0" fillId="0" borderId="0" xfId="0" applyNumberFormat="1"/>
    <xf numFmtId="0" fontId="14" fillId="4" borderId="4" xfId="0" applyFont="1" applyFill="1" applyBorder="1" applyAlignment="1">
      <alignment horizontal="center" wrapText="1"/>
    </xf>
    <xf numFmtId="0" fontId="0" fillId="0" borderId="16" xfId="0" applyBorder="1" applyAlignment="1">
      <alignment horizontal="right"/>
    </xf>
  </cellXfs>
  <cellStyles count="1">
    <cellStyle name="Normal" xfId="0" builtinId="0"/>
  </cellStyles>
  <dxfs count="1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DADA7"/>
          <bgColor rgb="FFFDADA7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D0E0E3"/>
      <color rgb="FFA2C4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21982</xdr:colOff>
      <xdr:row>14</xdr:row>
      <xdr:rowOff>7327</xdr:rowOff>
    </xdr:from>
    <xdr:to>
      <xdr:col>4</xdr:col>
      <xdr:colOff>36636</xdr:colOff>
      <xdr:row>20</xdr:row>
      <xdr:rowOff>16851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45401D-375B-C812-C1B4-C80646AB9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82" y="2571750"/>
          <a:ext cx="4088423" cy="1108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82985</xdr:colOff>
      <xdr:row>4</xdr:row>
      <xdr:rowOff>43022</xdr:rowOff>
    </xdr:from>
    <xdr:to>
      <xdr:col>13</xdr:col>
      <xdr:colOff>422413</xdr:colOff>
      <xdr:row>36</xdr:row>
      <xdr:rowOff>154600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A5C60A7C-7B0E-B68D-9E7C-D35C982C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0823" y="785972"/>
          <a:ext cx="7306965" cy="529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zoomScaleNormal="100" workbookViewId="0">
      <selection activeCell="I9" sqref="I9"/>
    </sheetView>
  </sheetViews>
  <sheetFormatPr defaultColWidth="14.42578125" defaultRowHeight="15" customHeight="1"/>
  <cols>
    <col min="1" max="3" width="11.5703125" customWidth="1"/>
    <col min="4" max="4" width="15.140625" customWidth="1"/>
    <col min="5" max="5" width="17.42578125" customWidth="1"/>
    <col min="6" max="6" width="9.28515625" customWidth="1"/>
    <col min="7" max="26" width="11.5703125" customWidth="1"/>
  </cols>
  <sheetData>
    <row r="1" spans="1:11" ht="14.25" customHeight="1">
      <c r="A1" s="82" t="s">
        <v>0</v>
      </c>
      <c r="B1" s="83"/>
      <c r="C1" s="83"/>
      <c r="D1" s="83"/>
      <c r="E1" s="84"/>
      <c r="G1" s="85" t="s">
        <v>1</v>
      </c>
      <c r="H1" s="86"/>
      <c r="I1" s="86"/>
      <c r="J1" s="86"/>
      <c r="K1" s="87"/>
    </row>
    <row r="2" spans="1:11" ht="15" customHeight="1">
      <c r="A2" s="78" t="s">
        <v>2</v>
      </c>
      <c r="B2" s="79"/>
      <c r="C2" s="79"/>
      <c r="D2" s="79"/>
      <c r="E2" s="79"/>
      <c r="G2" s="69" t="s">
        <v>3</v>
      </c>
      <c r="H2" s="83"/>
      <c r="I2" s="83"/>
      <c r="J2" s="83"/>
      <c r="K2" s="84"/>
    </row>
    <row r="3" spans="1:11" ht="14.25" customHeight="1">
      <c r="A3" s="79"/>
      <c r="B3" s="79"/>
      <c r="C3" s="79"/>
      <c r="D3" s="79"/>
      <c r="E3" s="79"/>
      <c r="G3" s="88"/>
      <c r="H3" s="89"/>
      <c r="I3" s="89"/>
      <c r="J3" s="89"/>
      <c r="K3" s="90"/>
    </row>
    <row r="4" spans="1:11" ht="14.25" customHeight="1">
      <c r="G4" s="91"/>
      <c r="H4" s="92"/>
      <c r="I4" s="92"/>
      <c r="J4" s="92"/>
      <c r="K4" s="93"/>
    </row>
    <row r="5" spans="1:11" ht="14.25" customHeight="1">
      <c r="A5" s="55" t="s">
        <v>4</v>
      </c>
      <c r="B5" s="55" t="s">
        <v>5</v>
      </c>
      <c r="C5" s="55" t="s">
        <v>6</v>
      </c>
    </row>
    <row r="6" spans="1:11" ht="15" customHeight="1">
      <c r="A6" s="1" t="s">
        <v>7</v>
      </c>
      <c r="B6" s="1">
        <v>78</v>
      </c>
      <c r="C6" s="2" t="str">
        <f>IF(B6&gt;=50, "passing", "ltln")</f>
        <v>passing</v>
      </c>
      <c r="H6" s="55" t="s">
        <v>8</v>
      </c>
      <c r="I6" s="55" t="s">
        <v>9</v>
      </c>
    </row>
    <row r="7" spans="1:11" ht="14.25" customHeight="1">
      <c r="A7" s="1" t="s">
        <v>10</v>
      </c>
      <c r="B7" s="1">
        <v>14</v>
      </c>
      <c r="C7" s="2" t="str">
        <f t="shared" ref="C7:C14" si="0">IF(B7&gt;=50, "passing", "ltln")</f>
        <v>ltln</v>
      </c>
      <c r="H7" s="1">
        <v>23</v>
      </c>
      <c r="I7" s="3" t="str">
        <f>IF(H7&gt;0,"positive",IF(H7&lt;0,"negative","zero"))</f>
        <v>positive</v>
      </c>
    </row>
    <row r="8" spans="1:11" ht="15" customHeight="1">
      <c r="A8" s="1" t="s">
        <v>11</v>
      </c>
      <c r="B8" s="1">
        <v>98</v>
      </c>
      <c r="C8" s="2" t="str">
        <f t="shared" si="0"/>
        <v>passing</v>
      </c>
      <c r="H8" s="1">
        <v>-14</v>
      </c>
      <c r="I8" s="3" t="str">
        <f t="shared" ref="I8:I14" si="1">IF(H8&gt;0,"positive",IF(H8&lt;0,"negative","zero"))</f>
        <v>negative</v>
      </c>
    </row>
    <row r="9" spans="1:11" ht="14.25" customHeight="1">
      <c r="A9" s="1" t="s">
        <v>12</v>
      </c>
      <c r="B9" s="1">
        <v>32</v>
      </c>
      <c r="C9" s="2" t="str">
        <f t="shared" si="0"/>
        <v>ltln</v>
      </c>
      <c r="E9" s="67"/>
      <c r="H9" s="1">
        <v>0</v>
      </c>
      <c r="I9" s="3" t="str">
        <f t="shared" si="1"/>
        <v>zero</v>
      </c>
    </row>
    <row r="10" spans="1:11" ht="14.25" customHeight="1">
      <c r="A10" s="1" t="s">
        <v>13</v>
      </c>
      <c r="B10" s="1">
        <v>22</v>
      </c>
      <c r="C10" s="2" t="str">
        <f t="shared" si="0"/>
        <v>ltln</v>
      </c>
      <c r="E10" s="67"/>
      <c r="H10" s="1">
        <v>12</v>
      </c>
      <c r="I10" s="3" t="str">
        <f t="shared" si="1"/>
        <v>positive</v>
      </c>
    </row>
    <row r="11" spans="1:11" ht="14.25" customHeight="1">
      <c r="A11" s="1" t="s">
        <v>14</v>
      </c>
      <c r="B11" s="1">
        <v>65</v>
      </c>
      <c r="C11" s="2" t="str">
        <f t="shared" si="0"/>
        <v>passing</v>
      </c>
      <c r="H11" s="1">
        <v>45</v>
      </c>
      <c r="I11" s="3" t="str">
        <f t="shared" si="1"/>
        <v>positive</v>
      </c>
    </row>
    <row r="12" spans="1:11" ht="14.25" customHeight="1">
      <c r="A12" s="1" t="s">
        <v>15</v>
      </c>
      <c r="B12" s="1">
        <v>10</v>
      </c>
      <c r="C12" s="2" t="str">
        <f t="shared" si="0"/>
        <v>ltln</v>
      </c>
      <c r="H12" s="1">
        <v>0</v>
      </c>
      <c r="I12" s="3" t="str">
        <f t="shared" si="1"/>
        <v>zero</v>
      </c>
    </row>
    <row r="13" spans="1:11" ht="14.25" customHeight="1">
      <c r="A13" s="1" t="s">
        <v>16</v>
      </c>
      <c r="B13" s="1">
        <v>91</v>
      </c>
      <c r="C13" s="2" t="str">
        <f t="shared" si="0"/>
        <v>passing</v>
      </c>
      <c r="H13" s="1">
        <v>-56</v>
      </c>
      <c r="I13" s="3" t="str">
        <f t="shared" si="1"/>
        <v>negative</v>
      </c>
    </row>
    <row r="14" spans="1:11" ht="14.25" customHeight="1">
      <c r="A14" s="1" t="s">
        <v>17</v>
      </c>
      <c r="B14" s="1">
        <v>48</v>
      </c>
      <c r="C14" s="2" t="str">
        <f t="shared" si="0"/>
        <v>ltln</v>
      </c>
      <c r="H14" s="1">
        <v>37</v>
      </c>
      <c r="I14" s="3" t="str">
        <f t="shared" si="1"/>
        <v>positive</v>
      </c>
    </row>
    <row r="15" spans="1:11" ht="14.25" customHeight="1"/>
    <row r="16" spans="1:11" ht="14.25" customHeight="1">
      <c r="A16" s="85" t="s">
        <v>18</v>
      </c>
      <c r="B16" s="94"/>
      <c r="C16" s="94"/>
      <c r="D16" s="94"/>
      <c r="E16" s="95"/>
      <c r="G16" s="80" t="s">
        <v>19</v>
      </c>
      <c r="H16" s="81"/>
      <c r="I16" s="81"/>
      <c r="J16" s="81"/>
      <c r="K16" s="81"/>
    </row>
    <row r="17" spans="1:11" ht="14.25" customHeight="1">
      <c r="A17" s="69" t="s">
        <v>20</v>
      </c>
      <c r="B17" s="70"/>
      <c r="C17" s="70"/>
      <c r="D17" s="70"/>
      <c r="E17" s="71"/>
      <c r="G17" s="78" t="s">
        <v>21</v>
      </c>
      <c r="H17" s="79"/>
      <c r="I17" s="79"/>
      <c r="J17" s="79"/>
      <c r="K17" s="79"/>
    </row>
    <row r="18" spans="1:11" ht="14.25" customHeight="1">
      <c r="A18" s="72"/>
      <c r="B18" s="73"/>
      <c r="C18" s="73"/>
      <c r="D18" s="73"/>
      <c r="E18" s="74"/>
      <c r="G18" s="79"/>
      <c r="H18" s="79"/>
      <c r="I18" s="79"/>
      <c r="J18" s="79"/>
      <c r="K18" s="79"/>
    </row>
    <row r="19" spans="1:11" ht="14.25" customHeight="1">
      <c r="A19" s="75"/>
      <c r="B19" s="76"/>
      <c r="C19" s="76"/>
      <c r="D19" s="76"/>
      <c r="E19" s="77"/>
    </row>
    <row r="20" spans="1:11" ht="14.25" customHeight="1">
      <c r="G20" s="55" t="s">
        <v>22</v>
      </c>
      <c r="H20" s="55" t="s">
        <v>23</v>
      </c>
      <c r="I20" s="55" t="s">
        <v>24</v>
      </c>
      <c r="J20" s="55" t="s">
        <v>25</v>
      </c>
    </row>
    <row r="21" spans="1:11" ht="14.25" customHeight="1">
      <c r="A21" s="56" t="s">
        <v>26</v>
      </c>
      <c r="B21" s="56" t="s">
        <v>27</v>
      </c>
      <c r="C21" s="55" t="s">
        <v>9</v>
      </c>
      <c r="G21" s="1">
        <v>1</v>
      </c>
      <c r="H21" s="1">
        <v>1</v>
      </c>
      <c r="I21" s="2" t="b">
        <f>AND(G21=1,H21=1)</f>
        <v>1</v>
      </c>
      <c r="J21" s="2" t="b">
        <f>OR(G21=1,H21=1)</f>
        <v>1</v>
      </c>
    </row>
    <row r="22" spans="1:11" ht="14.25" customHeight="1">
      <c r="A22" s="1" t="s">
        <v>7</v>
      </c>
      <c r="B22" s="4">
        <v>5</v>
      </c>
      <c r="C22" s="5" t="str">
        <f>_xlfn.IFS(B22=5,"Very good",B22=4,"Good",B22=3,"Fair",B22&lt;=2,"Insufficient")</f>
        <v>Very good</v>
      </c>
      <c r="G22" s="1">
        <v>1</v>
      </c>
      <c r="H22" s="1">
        <v>0</v>
      </c>
      <c r="I22" s="2" t="b">
        <f t="shared" ref="I22:I23" si="2">AND(G22=1,H22=1)</f>
        <v>0</v>
      </c>
      <c r="J22" s="2" t="b">
        <f t="shared" ref="J22:J23" si="3">OR(G22=1,H22=1)</f>
        <v>1</v>
      </c>
    </row>
    <row r="23" spans="1:11" ht="14.25" customHeight="1">
      <c r="A23" s="1" t="s">
        <v>10</v>
      </c>
      <c r="B23" s="4">
        <v>2</v>
      </c>
      <c r="C23" s="5" t="str">
        <f t="shared" ref="C23:C31" si="4">_xlfn.IFS(B23=5,"Very good",B23=4,"Good",B23=3,"Fair",B23&lt;=2,"Insufficient")</f>
        <v>Insufficient</v>
      </c>
      <c r="G23" s="1">
        <v>0</v>
      </c>
      <c r="H23" s="1">
        <v>0</v>
      </c>
      <c r="I23" s="2" t="b">
        <f t="shared" si="2"/>
        <v>0</v>
      </c>
      <c r="J23" s="2" t="b">
        <f t="shared" si="3"/>
        <v>0</v>
      </c>
    </row>
    <row r="24" spans="1:11" ht="14.25" customHeight="1">
      <c r="A24" s="1" t="s">
        <v>11</v>
      </c>
      <c r="B24" s="4">
        <v>3</v>
      </c>
      <c r="C24" s="5" t="str">
        <f t="shared" si="4"/>
        <v>Fair</v>
      </c>
    </row>
    <row r="25" spans="1:11" ht="14.25" customHeight="1">
      <c r="A25" s="1" t="s">
        <v>12</v>
      </c>
      <c r="B25" s="4">
        <v>5</v>
      </c>
      <c r="C25" s="5" t="str">
        <f t="shared" si="4"/>
        <v>Very good</v>
      </c>
    </row>
    <row r="26" spans="1:11" ht="14.25" customHeight="1">
      <c r="A26" s="1" t="s">
        <v>13</v>
      </c>
      <c r="B26" s="4">
        <v>4</v>
      </c>
      <c r="C26" s="5" t="str">
        <f t="shared" si="4"/>
        <v>Good</v>
      </c>
    </row>
    <row r="27" spans="1:11" ht="14.25" customHeight="1">
      <c r="A27" s="1" t="s">
        <v>14</v>
      </c>
      <c r="B27" s="4">
        <v>2</v>
      </c>
      <c r="C27" s="5" t="str">
        <f t="shared" si="4"/>
        <v>Insufficient</v>
      </c>
    </row>
    <row r="28" spans="1:11" ht="14.25" customHeight="1">
      <c r="A28" s="1" t="s">
        <v>15</v>
      </c>
      <c r="B28" s="4">
        <v>5</v>
      </c>
      <c r="C28" s="5" t="str">
        <f t="shared" si="4"/>
        <v>Very good</v>
      </c>
    </row>
    <row r="29" spans="1:11" ht="14.25" customHeight="1">
      <c r="A29" s="1" t="s">
        <v>16</v>
      </c>
      <c r="B29" s="4">
        <v>5</v>
      </c>
      <c r="C29" s="5" t="str">
        <f t="shared" si="4"/>
        <v>Very good</v>
      </c>
    </row>
    <row r="30" spans="1:11" ht="14.25" customHeight="1">
      <c r="A30" s="1" t="s">
        <v>17</v>
      </c>
      <c r="B30" s="4">
        <v>3</v>
      </c>
      <c r="C30" s="5" t="str">
        <f t="shared" si="4"/>
        <v>Fair</v>
      </c>
    </row>
    <row r="31" spans="1:11" ht="14.25" customHeight="1">
      <c r="A31" s="1" t="s">
        <v>28</v>
      </c>
      <c r="B31" s="4">
        <v>4</v>
      </c>
      <c r="C31" s="5" t="str">
        <f t="shared" si="4"/>
        <v>Good</v>
      </c>
    </row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7:E19"/>
    <mergeCell ref="G17:K18"/>
    <mergeCell ref="G16:K16"/>
    <mergeCell ref="A1:E1"/>
    <mergeCell ref="G1:K1"/>
    <mergeCell ref="G2:K4"/>
    <mergeCell ref="A2:E3"/>
    <mergeCell ref="A16:E16"/>
  </mergeCells>
  <conditionalFormatting sqref="C6:C14">
    <cfRule type="containsText" dxfId="9" priority="1" operator="containsText" text="passing">
      <formula>NOT(ISERROR(SEARCH("passing",C6)))</formula>
    </cfRule>
    <cfRule type="containsText" dxfId="8" priority="2" operator="containsText" text="itn">
      <formula>NOT(ISERROR(SEARCH(("itn"),(C6))))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zoomScaleNormal="100" workbookViewId="0">
      <selection activeCell="C40" sqref="C40"/>
    </sheetView>
  </sheetViews>
  <sheetFormatPr defaultColWidth="14.42578125" defaultRowHeight="15" customHeight="1"/>
  <cols>
    <col min="1" max="3" width="14.5703125" customWidth="1"/>
    <col min="4" max="4" width="17.28515625" customWidth="1"/>
    <col min="5" max="5" width="8.140625" customWidth="1"/>
    <col min="6" max="26" width="14.5703125" customWidth="1"/>
  </cols>
  <sheetData>
    <row r="1" spans="1:4" ht="14.25" customHeight="1">
      <c r="A1" s="85" t="s">
        <v>29</v>
      </c>
      <c r="B1" s="86"/>
      <c r="C1" s="86"/>
      <c r="D1" s="87"/>
    </row>
    <row r="2" spans="1:4" ht="14.25" customHeight="1">
      <c r="A2" s="69" t="s">
        <v>30</v>
      </c>
      <c r="B2" s="83"/>
      <c r="C2" s="83"/>
      <c r="D2" s="84"/>
    </row>
    <row r="3" spans="1:4" ht="14.25" customHeight="1">
      <c r="A3" s="88"/>
      <c r="B3" s="89"/>
      <c r="C3" s="89"/>
      <c r="D3" s="90"/>
    </row>
    <row r="4" spans="1:4" ht="14.25" customHeight="1">
      <c r="A4" s="91"/>
      <c r="B4" s="92"/>
      <c r="C4" s="92"/>
      <c r="D4" s="93"/>
    </row>
    <row r="5" spans="1:4" ht="14.25" customHeight="1"/>
    <row r="6" spans="1:4" ht="14.25" customHeight="1">
      <c r="A6" s="55" t="s">
        <v>31</v>
      </c>
      <c r="B6" s="55" t="s">
        <v>32</v>
      </c>
      <c r="C6" s="55" t="s">
        <v>33</v>
      </c>
      <c r="D6" s="55" t="s">
        <v>34</v>
      </c>
    </row>
    <row r="7" spans="1:4" ht="14.25" customHeight="1">
      <c r="A7" s="1">
        <f>2+6</f>
        <v>8</v>
      </c>
      <c r="B7" s="2">
        <f>IFERROR(A7,0)</f>
        <v>8</v>
      </c>
      <c r="C7" s="1" t="str" cm="1">
        <f t="array" ref="C7">_xlfn.IFS(B7&gt;0,"greater than 0")</f>
        <v>greater than 0</v>
      </c>
      <c r="D7" s="2" t="str">
        <f>_xlfn.IFNA(C7,"missing condition")</f>
        <v>greater than 0</v>
      </c>
    </row>
    <row r="8" spans="1:4" ht="14.25" customHeight="1">
      <c r="A8" s="1" t="e">
        <f>1/0</f>
        <v>#DIV/0!</v>
      </c>
      <c r="B8" s="2">
        <f t="shared" ref="B8:B11" si="0">IFERROR(A8,0)</f>
        <v>0</v>
      </c>
      <c r="C8" s="1" t="e" cm="1">
        <f t="array" ref="C8">_xlfn.IFS(B8&gt;0,"greater than 0")</f>
        <v>#N/A</v>
      </c>
      <c r="D8" s="2" t="str">
        <f t="shared" ref="D8:D11" si="1">_xlfn.IFNA(C8,"missing condition")</f>
        <v>missing condition</v>
      </c>
    </row>
    <row r="9" spans="1:4" ht="14.25" customHeight="1">
      <c r="A9" s="1">
        <f>4*13</f>
        <v>52</v>
      </c>
      <c r="B9" s="2">
        <f t="shared" si="0"/>
        <v>52</v>
      </c>
      <c r="C9" s="1" t="str" cm="1">
        <f t="array" ref="C9">_xlfn.IFS(B9&gt;0,"greater than 0")</f>
        <v>greater than 0</v>
      </c>
      <c r="D9" s="2" t="str">
        <f t="shared" si="1"/>
        <v>greater than 0</v>
      </c>
    </row>
    <row r="10" spans="1:4" ht="14.25" customHeight="1">
      <c r="A10" s="1" t="e">
        <f>15/0</f>
        <v>#DIV/0!</v>
      </c>
      <c r="B10" s="2">
        <f t="shared" si="0"/>
        <v>0</v>
      </c>
      <c r="C10" s="1" t="e" cm="1">
        <f t="array" ref="C10">_xlfn.IFS(B10&gt;0,"greater than 0")</f>
        <v>#N/A</v>
      </c>
      <c r="D10" s="2" t="str">
        <f t="shared" si="1"/>
        <v>missing condition</v>
      </c>
    </row>
    <row r="11" spans="1:4" ht="14.25" customHeight="1">
      <c r="A11" s="1">
        <v>23</v>
      </c>
      <c r="B11" s="2">
        <f t="shared" si="0"/>
        <v>23</v>
      </c>
      <c r="C11" s="1" t="str" cm="1">
        <f t="array" ref="C11">_xlfn.IFS(B11&gt;0,"greater than 0")</f>
        <v>greater than 0</v>
      </c>
      <c r="D11" s="2" t="str">
        <f t="shared" si="1"/>
        <v>greater than 0</v>
      </c>
    </row>
    <row r="12" spans="1:4" ht="14.25" customHeight="1"/>
    <row r="13" spans="1:4" ht="14.25" customHeight="1"/>
    <row r="14" spans="1:4" ht="14.25" customHeight="1">
      <c r="A14" s="62" t="s">
        <v>35</v>
      </c>
    </row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showGridLines="0" zoomScaleNormal="100" workbookViewId="0">
      <selection activeCell="H12" sqref="H12"/>
    </sheetView>
  </sheetViews>
  <sheetFormatPr defaultColWidth="14.42578125" defaultRowHeight="15.95" customHeight="1"/>
  <cols>
    <col min="1" max="1" width="9.28515625" customWidth="1"/>
    <col min="2" max="3" width="14.140625" customWidth="1"/>
    <col min="4" max="4" width="12" customWidth="1"/>
    <col min="5" max="5" width="12.5703125" customWidth="1"/>
    <col min="6" max="6" width="12.42578125" customWidth="1"/>
    <col min="7" max="10" width="11.42578125" customWidth="1"/>
    <col min="11" max="11" width="10.42578125" customWidth="1"/>
    <col min="12" max="26" width="11.42578125" customWidth="1"/>
  </cols>
  <sheetData>
    <row r="1" spans="1:6" ht="15.95" customHeight="1">
      <c r="A1" s="99" t="s">
        <v>36</v>
      </c>
      <c r="B1" s="99"/>
      <c r="C1" s="99"/>
      <c r="D1" s="99"/>
    </row>
    <row r="2" spans="1:6" ht="15.95" customHeight="1">
      <c r="A2" s="98" t="s">
        <v>37</v>
      </c>
      <c r="B2" s="98"/>
      <c r="C2" s="98"/>
      <c r="D2" s="98"/>
    </row>
    <row r="3" spans="1:6" ht="15.95" customHeight="1">
      <c r="A3" s="98"/>
      <c r="B3" s="98"/>
      <c r="C3" s="98"/>
      <c r="D3" s="98"/>
    </row>
    <row r="5" spans="1:6" ht="17.649999999999999" customHeight="1">
      <c r="A5" s="100" t="s">
        <v>38</v>
      </c>
      <c r="B5" s="102" t="s">
        <v>39</v>
      </c>
      <c r="C5" s="103"/>
      <c r="D5" s="96" t="s">
        <v>208</v>
      </c>
      <c r="E5" s="96" t="s">
        <v>40</v>
      </c>
      <c r="F5" s="96" t="s">
        <v>41</v>
      </c>
    </row>
    <row r="6" spans="1:6" ht="23.25" customHeight="1">
      <c r="A6" s="101"/>
      <c r="B6" s="41" t="s">
        <v>42</v>
      </c>
      <c r="C6" s="41" t="s">
        <v>43</v>
      </c>
      <c r="D6" s="97"/>
      <c r="E6" s="97"/>
      <c r="F6" s="97"/>
    </row>
    <row r="7" spans="1:6" ht="15.75" customHeight="1">
      <c r="A7" s="42" t="s">
        <v>44</v>
      </c>
      <c r="B7" s="42" t="s">
        <v>45</v>
      </c>
      <c r="C7" s="42" t="s">
        <v>46</v>
      </c>
      <c r="D7" s="39" t="b">
        <f>AND(B7="Polish",C7="American")</f>
        <v>1</v>
      </c>
      <c r="E7" s="39" t="b">
        <f>OR(B7="Polish",C7="Polish",B7="American",C7="American")</f>
        <v>1</v>
      </c>
      <c r="F7" s="40" t="b">
        <f>NOT(OR(B7="American",C7="American"))</f>
        <v>0</v>
      </c>
    </row>
    <row r="8" spans="1:6" ht="15.95" customHeight="1">
      <c r="A8" s="43" t="s">
        <v>47</v>
      </c>
      <c r="B8" s="43" t="s">
        <v>48</v>
      </c>
      <c r="C8" s="43" t="s">
        <v>49</v>
      </c>
      <c r="D8" s="39" t="b">
        <f t="shared" ref="D8:D17" si="0">AND(B8="Polish",C8="American")</f>
        <v>0</v>
      </c>
      <c r="E8" s="39" t="b">
        <f t="shared" ref="E8:E17" si="1">OR(B8="Polish",C8="Polish",B8="American",C8="American")</f>
        <v>0</v>
      </c>
      <c r="F8" s="40" t="b">
        <f t="shared" ref="F8:F16" si="2">NOT(OR(B8="American",C8="American"))</f>
        <v>1</v>
      </c>
    </row>
    <row r="9" spans="1:6" ht="15.95" customHeight="1">
      <c r="A9" s="43" t="s">
        <v>50</v>
      </c>
      <c r="B9" s="43" t="s">
        <v>51</v>
      </c>
      <c r="C9" s="42" t="s">
        <v>45</v>
      </c>
      <c r="D9" s="39" t="b">
        <f t="shared" si="0"/>
        <v>0</v>
      </c>
      <c r="E9" s="39" t="b">
        <f t="shared" si="1"/>
        <v>1</v>
      </c>
      <c r="F9" s="40" t="b">
        <f t="shared" si="2"/>
        <v>1</v>
      </c>
    </row>
    <row r="10" spans="1:6" ht="15.95" customHeight="1">
      <c r="A10" s="43" t="s">
        <v>52</v>
      </c>
      <c r="B10" s="42" t="s">
        <v>45</v>
      </c>
      <c r="C10" s="42" t="s">
        <v>46</v>
      </c>
      <c r="D10" s="39" t="b">
        <f t="shared" si="0"/>
        <v>1</v>
      </c>
      <c r="E10" s="39" t="b">
        <f t="shared" si="1"/>
        <v>1</v>
      </c>
      <c r="F10" s="40" t="b">
        <f t="shared" si="2"/>
        <v>0</v>
      </c>
    </row>
    <row r="11" spans="1:6" ht="15.95" customHeight="1">
      <c r="A11" s="43" t="s">
        <v>53</v>
      </c>
      <c r="B11" s="43" t="s">
        <v>49</v>
      </c>
      <c r="C11" s="42" t="s">
        <v>45</v>
      </c>
      <c r="D11" s="39" t="b">
        <f t="shared" si="0"/>
        <v>0</v>
      </c>
      <c r="E11" s="39" t="b">
        <f t="shared" si="1"/>
        <v>1</v>
      </c>
      <c r="F11" s="40" t="b">
        <f t="shared" si="2"/>
        <v>1</v>
      </c>
    </row>
    <row r="12" spans="1:6" ht="15.95" customHeight="1">
      <c r="A12" s="43" t="s">
        <v>54</v>
      </c>
      <c r="B12" s="42" t="s">
        <v>46</v>
      </c>
      <c r="C12" s="43" t="s">
        <v>49</v>
      </c>
      <c r="D12" s="39" t="b">
        <f t="shared" si="0"/>
        <v>0</v>
      </c>
      <c r="E12" s="39" t="b">
        <f t="shared" si="1"/>
        <v>1</v>
      </c>
      <c r="F12" s="40" t="b">
        <f t="shared" si="2"/>
        <v>0</v>
      </c>
    </row>
    <row r="13" spans="1:6" ht="15.95" customHeight="1">
      <c r="A13" s="43" t="s">
        <v>55</v>
      </c>
      <c r="B13" s="42" t="s">
        <v>45</v>
      </c>
      <c r="C13" s="43" t="s">
        <v>51</v>
      </c>
      <c r="D13" s="39" t="b">
        <f t="shared" si="0"/>
        <v>0</v>
      </c>
      <c r="E13" s="39" t="b">
        <f t="shared" si="1"/>
        <v>1</v>
      </c>
      <c r="F13" s="40" t="b">
        <f t="shared" si="2"/>
        <v>1</v>
      </c>
    </row>
    <row r="14" spans="1:6" ht="15.95" customHeight="1">
      <c r="A14" s="43" t="s">
        <v>56</v>
      </c>
      <c r="B14" s="42" t="s">
        <v>46</v>
      </c>
      <c r="C14" s="43" t="s">
        <v>57</v>
      </c>
      <c r="D14" s="39" t="b">
        <f t="shared" si="0"/>
        <v>0</v>
      </c>
      <c r="E14" s="39" t="b">
        <f t="shared" si="1"/>
        <v>1</v>
      </c>
      <c r="F14" s="40" t="b">
        <f t="shared" si="2"/>
        <v>0</v>
      </c>
    </row>
    <row r="15" spans="1:6" ht="15.95" customHeight="1">
      <c r="A15" s="43" t="s">
        <v>58</v>
      </c>
      <c r="B15" s="43" t="s">
        <v>59</v>
      </c>
      <c r="C15" s="42" t="s">
        <v>45</v>
      </c>
      <c r="D15" s="39" t="b">
        <f t="shared" si="0"/>
        <v>0</v>
      </c>
      <c r="E15" s="39" t="b">
        <f t="shared" si="1"/>
        <v>1</v>
      </c>
      <c r="F15" s="40" t="b">
        <f t="shared" si="2"/>
        <v>1</v>
      </c>
    </row>
    <row r="16" spans="1:6" ht="15.95" customHeight="1">
      <c r="A16" s="43" t="s">
        <v>60</v>
      </c>
      <c r="B16" s="42" t="s">
        <v>46</v>
      </c>
      <c r="C16" s="42" t="s">
        <v>45</v>
      </c>
      <c r="D16" s="39" t="b">
        <f t="shared" si="0"/>
        <v>0</v>
      </c>
      <c r="E16" s="39" t="b">
        <f t="shared" si="1"/>
        <v>1</v>
      </c>
      <c r="F16" s="40" t="b">
        <f t="shared" si="2"/>
        <v>0</v>
      </c>
    </row>
    <row r="17" spans="1:6" ht="15.95" customHeight="1">
      <c r="A17" s="43" t="s">
        <v>61</v>
      </c>
      <c r="B17" s="43" t="s">
        <v>62</v>
      </c>
      <c r="C17" s="42" t="s">
        <v>46</v>
      </c>
      <c r="D17" s="39" t="b">
        <f t="shared" si="0"/>
        <v>0</v>
      </c>
      <c r="E17" s="39" t="b">
        <f t="shared" si="1"/>
        <v>1</v>
      </c>
      <c r="F17" s="40" t="b">
        <f>NOT(OR(B17="American",C17="American"))</f>
        <v>0</v>
      </c>
    </row>
    <row r="19" spans="1:6" ht="15.95" customHeight="1">
      <c r="A19" s="35"/>
      <c r="B19" s="35"/>
      <c r="C19" s="35"/>
    </row>
  </sheetData>
  <mergeCells count="7">
    <mergeCell ref="E5:E6"/>
    <mergeCell ref="F5:F6"/>
    <mergeCell ref="A2:D3"/>
    <mergeCell ref="A1:D1"/>
    <mergeCell ref="A5:A6"/>
    <mergeCell ref="B5:C5"/>
    <mergeCell ref="D5:D6"/>
  </mergeCells>
  <phoneticPr fontId="15" type="noConversion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zoomScaleNormal="100" workbookViewId="0">
      <selection activeCell="G22" sqref="G22"/>
    </sheetView>
  </sheetViews>
  <sheetFormatPr defaultColWidth="14.42578125" defaultRowHeight="15" customHeight="1"/>
  <cols>
    <col min="1" max="1" width="16" customWidth="1"/>
    <col min="2" max="2" width="18.42578125" customWidth="1"/>
    <col min="3" max="6" width="11.5703125" customWidth="1"/>
    <col min="7" max="7" width="17.5703125" customWidth="1"/>
    <col min="8" max="11" width="11.5703125" customWidth="1"/>
    <col min="12" max="12" width="17.85546875" customWidth="1"/>
    <col min="13" max="26" width="11.5703125" customWidth="1"/>
  </cols>
  <sheetData>
    <row r="1" spans="1:9" ht="14.25" customHeight="1">
      <c r="A1" s="107" t="s">
        <v>63</v>
      </c>
      <c r="B1" s="87"/>
      <c r="F1" s="106" t="s">
        <v>64</v>
      </c>
      <c r="G1" s="86"/>
      <c r="H1" s="87"/>
      <c r="I1" s="136">
        <f>H4+H11+H16+H18+H19+H22</f>
        <v>669</v>
      </c>
    </row>
    <row r="2" spans="1:9" ht="14.25" customHeight="1">
      <c r="F2" s="63" t="s">
        <v>65</v>
      </c>
      <c r="G2" s="63" t="s">
        <v>66</v>
      </c>
      <c r="H2" s="63" t="s">
        <v>67</v>
      </c>
    </row>
    <row r="3" spans="1:9" ht="15" customHeight="1">
      <c r="A3" s="104" t="s">
        <v>68</v>
      </c>
      <c r="B3" s="86"/>
      <c r="C3" s="86"/>
      <c r="D3" s="87"/>
      <c r="F3" s="6">
        <v>45880</v>
      </c>
      <c r="G3" s="7" t="s">
        <v>69</v>
      </c>
      <c r="H3" s="8">
        <v>178</v>
      </c>
    </row>
    <row r="4" spans="1:9" ht="14.25" customHeight="1">
      <c r="A4" s="105" t="s">
        <v>70</v>
      </c>
      <c r="B4" s="83"/>
      <c r="C4" s="83"/>
      <c r="D4" s="84"/>
      <c r="F4" s="9">
        <v>45881</v>
      </c>
      <c r="G4" s="68" t="s">
        <v>71</v>
      </c>
      <c r="H4" s="10">
        <v>192</v>
      </c>
    </row>
    <row r="5" spans="1:9" ht="14.25" customHeight="1">
      <c r="A5" s="91"/>
      <c r="B5" s="92"/>
      <c r="C5" s="92"/>
      <c r="D5" s="93"/>
      <c r="F5" s="9">
        <v>45882</v>
      </c>
      <c r="G5" s="68" t="s">
        <v>72</v>
      </c>
      <c r="H5" s="10">
        <v>14</v>
      </c>
    </row>
    <row r="6" spans="1:9" ht="14.25" customHeight="1">
      <c r="A6" s="61" t="s">
        <v>73</v>
      </c>
      <c r="B6" s="11">
        <f>SUMIF(G2:G28,"Duck restaurant",H2:H28)</f>
        <v>669</v>
      </c>
      <c r="F6" s="9">
        <v>45883</v>
      </c>
      <c r="G6" s="68" t="s">
        <v>74</v>
      </c>
      <c r="H6" s="10">
        <v>93</v>
      </c>
    </row>
    <row r="7" spans="1:9" ht="14.25" customHeight="1">
      <c r="F7" s="9">
        <v>45884</v>
      </c>
      <c r="G7" s="68" t="s">
        <v>75</v>
      </c>
      <c r="H7" s="10">
        <v>173</v>
      </c>
    </row>
    <row r="8" spans="1:9" ht="14.25" customHeight="1">
      <c r="A8" s="104" t="s">
        <v>76</v>
      </c>
      <c r="B8" s="86"/>
      <c r="C8" s="86"/>
      <c r="D8" s="87"/>
      <c r="F8" s="9">
        <v>45885</v>
      </c>
      <c r="G8" s="68" t="s">
        <v>77</v>
      </c>
      <c r="H8" s="10">
        <v>63</v>
      </c>
    </row>
    <row r="9" spans="1:9" ht="14.25" customHeight="1">
      <c r="A9" s="105" t="s">
        <v>78</v>
      </c>
      <c r="B9" s="83"/>
      <c r="C9" s="83"/>
      <c r="D9" s="84"/>
      <c r="F9" s="9">
        <v>45886</v>
      </c>
      <c r="G9" s="68" t="s">
        <v>79</v>
      </c>
      <c r="H9" s="10">
        <v>189</v>
      </c>
    </row>
    <row r="10" spans="1:9" ht="14.25" customHeight="1">
      <c r="A10" s="91"/>
      <c r="B10" s="92"/>
      <c r="C10" s="92"/>
      <c r="D10" s="93"/>
      <c r="F10" s="9">
        <v>45887</v>
      </c>
      <c r="G10" s="68" t="s">
        <v>80</v>
      </c>
      <c r="H10" s="10">
        <v>183</v>
      </c>
    </row>
    <row r="11" spans="1:9" ht="14.25" customHeight="1">
      <c r="A11" s="61" t="s">
        <v>81</v>
      </c>
      <c r="B11" s="11">
        <f>COUNTIF(G2:G28,"Duck restaurant")</f>
        <v>6</v>
      </c>
      <c r="F11" s="9">
        <v>45888</v>
      </c>
      <c r="G11" s="68" t="s">
        <v>71</v>
      </c>
      <c r="H11" s="10">
        <v>134</v>
      </c>
    </row>
    <row r="12" spans="1:9" ht="14.25" customHeight="1">
      <c r="F12" s="9">
        <v>45889</v>
      </c>
      <c r="G12" s="68" t="s">
        <v>82</v>
      </c>
      <c r="H12" s="10">
        <v>63</v>
      </c>
    </row>
    <row r="13" spans="1:9" ht="14.25" customHeight="1">
      <c r="F13" s="9">
        <v>45890</v>
      </c>
      <c r="G13" s="68" t="s">
        <v>83</v>
      </c>
      <c r="H13" s="10">
        <v>197</v>
      </c>
    </row>
    <row r="14" spans="1:9" ht="14.25" customHeight="1">
      <c r="F14" s="9">
        <v>45891</v>
      </c>
      <c r="G14" s="68" t="s">
        <v>84</v>
      </c>
      <c r="H14" s="10">
        <v>106</v>
      </c>
    </row>
    <row r="15" spans="1:9" ht="14.25" customHeight="1">
      <c r="F15" s="9">
        <v>45892</v>
      </c>
      <c r="G15" s="68" t="s">
        <v>74</v>
      </c>
      <c r="H15" s="10">
        <v>187</v>
      </c>
    </row>
    <row r="16" spans="1:9" ht="14.25" customHeight="1">
      <c r="F16" s="9">
        <v>45893</v>
      </c>
      <c r="G16" s="68" t="s">
        <v>71</v>
      </c>
      <c r="H16" s="10">
        <v>157</v>
      </c>
    </row>
    <row r="17" spans="1:8" ht="14.25" customHeight="1">
      <c r="F17" s="9">
        <v>45894</v>
      </c>
      <c r="G17" s="68" t="s">
        <v>75</v>
      </c>
      <c r="H17" s="10">
        <v>128</v>
      </c>
    </row>
    <row r="18" spans="1:8" ht="14.25" customHeight="1">
      <c r="F18" s="9">
        <v>45895</v>
      </c>
      <c r="G18" s="68" t="s">
        <v>71</v>
      </c>
      <c r="H18" s="10">
        <v>40</v>
      </c>
    </row>
    <row r="19" spans="1:8" ht="14.25" customHeight="1">
      <c r="F19" s="9">
        <v>45896</v>
      </c>
      <c r="G19" s="68" t="s">
        <v>71</v>
      </c>
      <c r="H19" s="10">
        <v>68</v>
      </c>
    </row>
    <row r="20" spans="1:8" ht="14.25" customHeight="1">
      <c r="F20" s="9">
        <v>45897</v>
      </c>
      <c r="G20" s="68" t="s">
        <v>72</v>
      </c>
      <c r="H20" s="10">
        <v>81</v>
      </c>
    </row>
    <row r="21" spans="1:8" ht="14.25" customHeight="1">
      <c r="F21" s="9">
        <v>45898</v>
      </c>
      <c r="G21" s="68" t="s">
        <v>83</v>
      </c>
      <c r="H21" s="10">
        <v>33</v>
      </c>
    </row>
    <row r="22" spans="1:8" ht="14.25" customHeight="1">
      <c r="F22" s="9">
        <v>45899</v>
      </c>
      <c r="G22" s="68" t="s">
        <v>71</v>
      </c>
      <c r="H22" s="10">
        <v>78</v>
      </c>
    </row>
    <row r="23" spans="1:8" ht="14.25" customHeight="1">
      <c r="F23" s="9">
        <v>45900</v>
      </c>
      <c r="G23" s="68" t="s">
        <v>74</v>
      </c>
      <c r="H23" s="10">
        <v>138</v>
      </c>
    </row>
    <row r="24" spans="1:8" ht="14.25" customHeight="1">
      <c r="F24" s="9">
        <v>45901</v>
      </c>
      <c r="G24" s="68" t="s">
        <v>83</v>
      </c>
      <c r="H24" s="10">
        <v>58</v>
      </c>
    </row>
    <row r="25" spans="1:8" ht="14.25" customHeight="1">
      <c r="F25" s="9">
        <v>45902</v>
      </c>
      <c r="G25" s="68" t="s">
        <v>75</v>
      </c>
      <c r="H25" s="10">
        <v>176</v>
      </c>
    </row>
    <row r="26" spans="1:8" ht="14.25" customHeight="1">
      <c r="F26" s="9">
        <v>45903</v>
      </c>
      <c r="G26" s="68" t="s">
        <v>83</v>
      </c>
      <c r="H26" s="10">
        <v>145</v>
      </c>
    </row>
    <row r="27" spans="1:8" ht="14.25" customHeight="1">
      <c r="F27" s="9">
        <v>45904</v>
      </c>
      <c r="G27" s="68" t="s">
        <v>75</v>
      </c>
      <c r="H27" s="10">
        <v>128</v>
      </c>
    </row>
    <row r="28" spans="1:8" ht="14.25" customHeight="1">
      <c r="F28" s="9">
        <v>45905</v>
      </c>
      <c r="G28" s="68" t="s">
        <v>83</v>
      </c>
      <c r="H28" s="10">
        <v>44</v>
      </c>
    </row>
    <row r="29" spans="1:8" ht="14.25" customHeight="1">
      <c r="F29" s="12">
        <v>45906</v>
      </c>
      <c r="G29" s="13" t="s">
        <v>75</v>
      </c>
      <c r="H29" s="14">
        <v>122</v>
      </c>
    </row>
    <row r="30" spans="1:8" ht="14.25" customHeight="1"/>
    <row r="31" spans="1:8" ht="14.25" customHeight="1">
      <c r="A31" s="15"/>
      <c r="C31" s="16"/>
    </row>
    <row r="32" spans="1:8" ht="14.25" customHeight="1">
      <c r="A32" s="15"/>
      <c r="C32" s="16"/>
    </row>
    <row r="33" spans="1:3" ht="14.25" customHeight="1">
      <c r="A33" s="15"/>
      <c r="C33" s="16"/>
    </row>
    <row r="34" spans="1:3" ht="14.25" customHeight="1">
      <c r="A34" s="15"/>
      <c r="C34" s="16"/>
    </row>
    <row r="35" spans="1:3" ht="14.25" customHeight="1">
      <c r="A35" s="15"/>
      <c r="C35" s="16"/>
    </row>
    <row r="36" spans="1:3" ht="14.25" customHeight="1">
      <c r="A36" s="15"/>
      <c r="C36" s="16"/>
    </row>
    <row r="37" spans="1:3" ht="14.25" customHeight="1">
      <c r="A37" s="15"/>
      <c r="C37" s="16"/>
    </row>
    <row r="38" spans="1:3" ht="14.25" customHeight="1">
      <c r="A38" s="15"/>
      <c r="C38" s="16"/>
    </row>
    <row r="39" spans="1:3" ht="14.25" customHeight="1">
      <c r="A39" s="15"/>
      <c r="C39" s="16"/>
    </row>
    <row r="40" spans="1:3" ht="14.25" customHeight="1">
      <c r="A40" s="15"/>
      <c r="C40" s="16"/>
    </row>
    <row r="41" spans="1:3" ht="14.25" customHeight="1">
      <c r="A41" s="15"/>
      <c r="C41" s="16"/>
    </row>
    <row r="42" spans="1:3" ht="14.25" customHeight="1">
      <c r="A42" s="15"/>
      <c r="C42" s="16"/>
    </row>
    <row r="43" spans="1:3" ht="14.25" customHeight="1">
      <c r="A43" s="15"/>
      <c r="C43" s="16"/>
    </row>
    <row r="44" spans="1:3" ht="14.25" customHeight="1">
      <c r="A44" s="15"/>
      <c r="C44" s="16"/>
    </row>
    <row r="45" spans="1:3" ht="14.25" customHeight="1">
      <c r="A45" s="15"/>
      <c r="C45" s="16"/>
    </row>
    <row r="46" spans="1:3" ht="14.25" customHeight="1">
      <c r="A46" s="15"/>
      <c r="C46" s="16"/>
    </row>
    <row r="47" spans="1:3" ht="14.25" customHeight="1">
      <c r="A47" s="15"/>
      <c r="C47" s="16"/>
    </row>
    <row r="48" spans="1:3" ht="14.25" customHeight="1">
      <c r="A48" s="15"/>
      <c r="C48" s="16"/>
    </row>
    <row r="49" spans="1:3" ht="14.25" customHeight="1">
      <c r="A49" s="15"/>
      <c r="C49" s="16"/>
    </row>
    <row r="50" spans="1:3" ht="14.25" customHeight="1">
      <c r="A50" s="15"/>
      <c r="C50" s="16"/>
    </row>
    <row r="51" spans="1:3" ht="14.25" customHeight="1">
      <c r="A51" s="15"/>
      <c r="C51" s="16"/>
    </row>
    <row r="52" spans="1:3" ht="14.25" customHeight="1">
      <c r="A52" s="15"/>
      <c r="C52" s="16"/>
    </row>
    <row r="53" spans="1:3" ht="14.25" customHeight="1">
      <c r="A53" s="15"/>
      <c r="C53" s="16"/>
    </row>
    <row r="54" spans="1:3" ht="14.25" customHeight="1">
      <c r="A54" s="15"/>
      <c r="C54" s="16"/>
    </row>
    <row r="55" spans="1:3" ht="14.25" customHeight="1">
      <c r="A55" s="15"/>
      <c r="C55" s="16"/>
    </row>
    <row r="56" spans="1:3" ht="14.25" customHeight="1">
      <c r="A56" s="15"/>
      <c r="C56" s="16"/>
    </row>
    <row r="57" spans="1:3" ht="14.25" customHeight="1">
      <c r="A57" s="15"/>
      <c r="C57" s="16"/>
    </row>
    <row r="58" spans="1:3" ht="14.25" customHeight="1">
      <c r="A58" s="15"/>
      <c r="C58" s="16"/>
    </row>
    <row r="59" spans="1:3" ht="14.25" customHeight="1">
      <c r="A59" s="15"/>
      <c r="C59" s="16"/>
    </row>
    <row r="60" spans="1:3" ht="14.25" customHeight="1">
      <c r="A60" s="15"/>
      <c r="C60" s="16"/>
    </row>
    <row r="61" spans="1:3" ht="14.25" customHeight="1">
      <c r="A61" s="15"/>
      <c r="C61" s="16"/>
    </row>
    <row r="62" spans="1:3" ht="14.25" customHeight="1">
      <c r="A62" s="15"/>
      <c r="C62" s="16"/>
    </row>
    <row r="63" spans="1:3" ht="14.25" customHeight="1">
      <c r="A63" s="15"/>
      <c r="C63" s="16"/>
    </row>
    <row r="64" spans="1:3" ht="14.25" customHeight="1">
      <c r="A64" s="15"/>
      <c r="C64" s="16"/>
    </row>
    <row r="65" spans="1:3" ht="14.25" customHeight="1">
      <c r="A65" s="15"/>
      <c r="C65" s="16"/>
    </row>
    <row r="66" spans="1:3" ht="14.25" customHeight="1">
      <c r="A66" s="15"/>
      <c r="C66" s="16"/>
    </row>
    <row r="67" spans="1:3" ht="14.25" customHeight="1">
      <c r="A67" s="15"/>
      <c r="C67" s="16"/>
    </row>
    <row r="68" spans="1:3" ht="14.25" customHeight="1">
      <c r="A68" s="15"/>
      <c r="C68" s="16"/>
    </row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8:D8"/>
    <mergeCell ref="A9:D10"/>
    <mergeCell ref="A4:D5"/>
    <mergeCell ref="A3:D3"/>
    <mergeCell ref="F1:H1"/>
    <mergeCell ref="A1:B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zoomScaleNormal="100" workbookViewId="0">
      <selection activeCell="B7" sqref="B7"/>
    </sheetView>
  </sheetViews>
  <sheetFormatPr defaultColWidth="14.42578125" defaultRowHeight="15" customHeight="1"/>
  <cols>
    <col min="1" max="1" width="8.85546875" customWidth="1"/>
    <col min="2" max="2" width="15.5703125" customWidth="1"/>
    <col min="3" max="14" width="8.85546875" customWidth="1"/>
    <col min="15" max="15" width="13.5703125" customWidth="1"/>
    <col min="16" max="16" width="16.85546875" customWidth="1"/>
    <col min="17" max="26" width="8.85546875" customWidth="1"/>
  </cols>
  <sheetData>
    <row r="1" spans="1:26" ht="12.75" customHeight="1">
      <c r="A1" s="99" t="s">
        <v>85</v>
      </c>
      <c r="B1" s="108"/>
      <c r="C1" s="108"/>
      <c r="D1" s="108"/>
      <c r="E1" s="108"/>
      <c r="F1" s="108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0.25" customHeight="1">
      <c r="A2" s="98" t="s">
        <v>86</v>
      </c>
      <c r="B2" s="98"/>
      <c r="C2" s="98"/>
      <c r="D2" s="98"/>
      <c r="E2" s="98"/>
      <c r="F2" s="9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2.75" customHeight="1">
      <c r="A3" s="98"/>
      <c r="B3" s="98"/>
      <c r="C3" s="98"/>
      <c r="D3" s="98"/>
      <c r="E3" s="98"/>
      <c r="F3" s="98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2.75" customHeight="1">
      <c r="A4" s="98"/>
      <c r="B4" s="98"/>
      <c r="C4" s="98"/>
      <c r="D4" s="98"/>
      <c r="E4" s="98"/>
      <c r="F4" s="98"/>
      <c r="G4" s="31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2.75" customHeight="1" thickBot="1"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2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2.75" customHeight="1" thickBot="1">
      <c r="A6" s="33" t="s">
        <v>87</v>
      </c>
      <c r="B6" s="36">
        <v>999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2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.75" customHeight="1" thickBot="1">
      <c r="A7" s="33"/>
      <c r="B7" s="32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4"/>
      <c r="R7" s="30"/>
      <c r="S7" s="30"/>
      <c r="T7" s="30"/>
      <c r="U7" s="30"/>
      <c r="V7" s="30"/>
      <c r="W7" s="30"/>
      <c r="X7" s="30"/>
      <c r="Y7" s="30"/>
      <c r="Z7" s="30"/>
    </row>
    <row r="8" spans="1:26" ht="12.75" customHeight="1" thickBot="1">
      <c r="A8" s="38" t="s">
        <v>88</v>
      </c>
      <c r="B8" s="37" t="str">
        <f>IF(B6&gt;=0,IF(B6=0,"Zero",IF(B6&gt;1000,"Big positive","Positive")),IF(B6&lt;-1000,"Big negative","Negative"))</f>
        <v>Positive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Y8" s="30"/>
      <c r="Z8" s="30"/>
    </row>
    <row r="9" spans="1:26" ht="12.75" customHeight="1"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Y9" s="30"/>
      <c r="Z9" s="30"/>
    </row>
    <row r="10" spans="1:26" ht="12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Y10" s="30"/>
      <c r="Z10" s="30"/>
    </row>
    <row r="11" spans="1:26" ht="12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Y11" s="30"/>
      <c r="Z11" s="30"/>
    </row>
    <row r="12" spans="1:26" ht="12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Y12" s="30"/>
      <c r="Z12" s="30"/>
    </row>
    <row r="13" spans="1:26" ht="12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Y13" s="30"/>
      <c r="Z13" s="30"/>
    </row>
    <row r="14" spans="1:26" ht="12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Y14" s="30"/>
      <c r="Z14" s="30"/>
    </row>
    <row r="15" spans="1:26" ht="12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Y15" s="30"/>
      <c r="Z15" s="30"/>
    </row>
    <row r="16" spans="1:26" ht="12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Y16" s="30"/>
      <c r="Z16" s="30"/>
    </row>
    <row r="17" spans="1:26" ht="12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Y17" s="30"/>
      <c r="Z17" s="30"/>
    </row>
    <row r="18" spans="1:26" ht="12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Y18" s="30"/>
      <c r="Z18" s="30"/>
    </row>
    <row r="19" spans="1:26" ht="12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Y19" s="30"/>
      <c r="Z19" s="30"/>
    </row>
    <row r="20" spans="1:26" ht="12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Y20" s="30"/>
      <c r="Z20" s="30"/>
    </row>
    <row r="21" spans="1:26" ht="12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Y21" s="30"/>
      <c r="Z21" s="30"/>
    </row>
    <row r="22" spans="1:26" ht="12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Y22" s="30"/>
      <c r="Z22" s="30"/>
    </row>
    <row r="23" spans="1:26" ht="12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Y23" s="30"/>
      <c r="Z23" s="30"/>
    </row>
    <row r="24" spans="1:26" ht="12.75" customHeight="1">
      <c r="A24" s="30"/>
      <c r="B24" s="30"/>
      <c r="C24" s="30"/>
      <c r="D24" s="30"/>
      <c r="E24" s="30"/>
      <c r="F24" s="30"/>
      <c r="G24" s="30"/>
      <c r="I24" s="30"/>
      <c r="J24" s="30"/>
      <c r="K24" s="30"/>
      <c r="L24" s="30"/>
      <c r="M24" s="30"/>
      <c r="N24" s="30"/>
      <c r="O24" s="30"/>
      <c r="P24" s="30"/>
      <c r="Y24" s="30"/>
      <c r="Z24" s="30"/>
    </row>
    <row r="25" spans="1:26" ht="12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Y25" s="30"/>
      <c r="Z25" s="30"/>
    </row>
    <row r="26" spans="1:26" ht="12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Y26" s="30"/>
      <c r="Z26" s="30"/>
    </row>
    <row r="27" spans="1:26" ht="12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Y27" s="30"/>
      <c r="Z27" s="30"/>
    </row>
    <row r="28" spans="1:26" ht="12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Y28" s="30"/>
      <c r="Z28" s="30"/>
    </row>
    <row r="29" spans="1:26" ht="12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Y29" s="30"/>
      <c r="Z29" s="30"/>
    </row>
    <row r="30" spans="1:26" ht="12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Y30" s="30"/>
      <c r="Z30" s="30"/>
    </row>
    <row r="31" spans="1:26" ht="12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Y31" s="30"/>
      <c r="Z31" s="30"/>
    </row>
    <row r="32" spans="1:26" ht="12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Y32" s="30"/>
      <c r="Z32" s="30"/>
    </row>
    <row r="33" spans="1:26" ht="12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Y33" s="30"/>
      <c r="Z33" s="30"/>
    </row>
    <row r="34" spans="1:26" ht="12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Y34" s="30"/>
      <c r="Z34" s="30"/>
    </row>
    <row r="35" spans="1:26" ht="12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Y35" s="30"/>
      <c r="Z35" s="30"/>
    </row>
    <row r="36" spans="1:26" ht="12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Y36" s="30"/>
      <c r="Z36" s="30"/>
    </row>
    <row r="37" spans="1:26" ht="12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Y37" s="30"/>
      <c r="Z37" s="30"/>
    </row>
    <row r="38" spans="1:26" ht="12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Y38" s="30"/>
      <c r="Z38" s="30"/>
    </row>
    <row r="39" spans="1:26" ht="12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Y39" s="30"/>
      <c r="Z39" s="30"/>
    </row>
    <row r="40" spans="1:26" ht="12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Y40" s="30"/>
      <c r="Z40" s="30"/>
    </row>
    <row r="41" spans="1:26" ht="12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Y41" s="30"/>
      <c r="Z41" s="30"/>
    </row>
    <row r="42" spans="1:26" ht="12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Y42" s="30"/>
      <c r="Z42" s="30"/>
    </row>
    <row r="43" spans="1:26" ht="12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Y43" s="30"/>
      <c r="Z43" s="30"/>
    </row>
    <row r="44" spans="1:26" ht="12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2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2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2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2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2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2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2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2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2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2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2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2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2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2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2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2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2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2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2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2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2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2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2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2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2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2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2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2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2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2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2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2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2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2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2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2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2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2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2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2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2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2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2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2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2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2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2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2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2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2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2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2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2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2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2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2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2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2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2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2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2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2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2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2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2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2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2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2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2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2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2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2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2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2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2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2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2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2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2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2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2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2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2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2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2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2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2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2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2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2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2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2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2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2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2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2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2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2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2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2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2">
    <mergeCell ref="A1:F1"/>
    <mergeCell ref="A2:F4"/>
  </mergeCells>
  <pageMargins left="0.75" right="0.75" top="1" bottom="1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showGridLines="0" zoomScaleNormal="100" workbookViewId="0">
      <selection activeCell="E11" sqref="E11"/>
    </sheetView>
  </sheetViews>
  <sheetFormatPr defaultColWidth="14.42578125" defaultRowHeight="15" customHeight="1"/>
  <cols>
    <col min="1" max="1" width="8.7109375" customWidth="1"/>
    <col min="2" max="3" width="13.42578125" customWidth="1"/>
    <col min="4" max="4" width="8.7109375" customWidth="1"/>
    <col min="5" max="5" width="18.42578125" customWidth="1"/>
    <col min="6" max="6" width="8.7109375" customWidth="1"/>
    <col min="7" max="7" width="23.85546875" customWidth="1"/>
    <col min="8" max="8" width="19" customWidth="1"/>
    <col min="9" max="26" width="8.7109375" customWidth="1"/>
  </cols>
  <sheetData>
    <row r="1" spans="1:9" ht="13.5" customHeight="1">
      <c r="A1" s="113" t="s">
        <v>89</v>
      </c>
      <c r="B1" s="114"/>
      <c r="C1" s="114"/>
      <c r="D1" s="114"/>
      <c r="E1" s="114"/>
      <c r="F1" s="114"/>
      <c r="G1" s="17"/>
    </row>
    <row r="2" spans="1:9" ht="13.5" customHeight="1">
      <c r="A2" s="98" t="s">
        <v>207</v>
      </c>
      <c r="B2" s="98"/>
      <c r="C2" s="98"/>
      <c r="D2" s="98"/>
      <c r="E2" s="98"/>
      <c r="F2" s="98"/>
      <c r="G2" s="17"/>
    </row>
    <row r="3" spans="1:9" ht="13.5" customHeight="1">
      <c r="A3" s="98"/>
      <c r="B3" s="98"/>
      <c r="C3" s="98"/>
      <c r="D3" s="98"/>
      <c r="E3" s="98"/>
      <c r="F3" s="98"/>
    </row>
    <row r="4" spans="1:9" ht="13.5" customHeight="1"/>
    <row r="5" spans="1:9" ht="13.5" customHeight="1">
      <c r="A5" s="109" t="s">
        <v>90</v>
      </c>
      <c r="B5" s="110"/>
      <c r="C5" s="110"/>
      <c r="D5" s="110"/>
      <c r="E5" s="111"/>
      <c r="G5" s="112" t="s">
        <v>91</v>
      </c>
      <c r="H5" s="111"/>
    </row>
    <row r="6" spans="1:9" ht="13.5" customHeight="1">
      <c r="A6" s="56" t="s">
        <v>92</v>
      </c>
      <c r="B6" s="56" t="s">
        <v>93</v>
      </c>
      <c r="C6" s="56" t="s">
        <v>94</v>
      </c>
      <c r="D6" s="56" t="s">
        <v>95</v>
      </c>
      <c r="E6" s="56" t="s">
        <v>96</v>
      </c>
      <c r="G6" s="60" t="s">
        <v>95</v>
      </c>
      <c r="H6" s="60" t="s">
        <v>96</v>
      </c>
    </row>
    <row r="7" spans="1:9" ht="13.5" customHeight="1">
      <c r="A7" s="19" t="s">
        <v>97</v>
      </c>
      <c r="B7" s="20">
        <v>145.19999999999999</v>
      </c>
      <c r="C7" s="20">
        <v>147.44999999999999</v>
      </c>
      <c r="D7" s="21">
        <f t="shared" ref="D7:D26" si="0">(C7-B7)/100</f>
        <v>2.2499999999999999E-2</v>
      </c>
      <c r="E7" s="46" t="str">
        <f>IF(D7&lt;=0.5%,IF(D7&gt;=-0.5%,"Low risk","Moderate risk"),IF(D7&lt;=2%,"Moderate risk","High risk"))</f>
        <v>High risk</v>
      </c>
      <c r="G7" s="45" t="s">
        <v>98</v>
      </c>
      <c r="H7" s="44" t="s">
        <v>99</v>
      </c>
    </row>
    <row r="8" spans="1:9" ht="13.5" customHeight="1">
      <c r="A8" s="19" t="s">
        <v>100</v>
      </c>
      <c r="B8" s="20">
        <v>62.1</v>
      </c>
      <c r="C8" s="20">
        <v>61.35</v>
      </c>
      <c r="D8" s="21">
        <f t="shared" si="0"/>
        <v>-7.4999999999999997E-3</v>
      </c>
      <c r="E8" s="46" t="str">
        <f t="shared" ref="E8:E26" si="1">IF(D8&lt;=0.5%,IF(D8&gt;=-0.5%,"Low risk","Moderate risk"),IF(D8&lt;=2%,"Moderate risk","High risk"))</f>
        <v>Moderate risk</v>
      </c>
      <c r="G8" s="64" t="s">
        <v>101</v>
      </c>
      <c r="H8" s="44" t="s">
        <v>102</v>
      </c>
    </row>
    <row r="9" spans="1:9" ht="13.5" customHeight="1">
      <c r="A9" s="19" t="s">
        <v>103</v>
      </c>
      <c r="B9" s="20">
        <v>28.45</v>
      </c>
      <c r="C9" s="20">
        <v>29.8</v>
      </c>
      <c r="D9" s="21">
        <f t="shared" si="0"/>
        <v>1.3500000000000014E-2</v>
      </c>
      <c r="E9" s="46" t="str">
        <f t="shared" si="1"/>
        <v>Moderate risk</v>
      </c>
      <c r="G9" s="64" t="s">
        <v>104</v>
      </c>
      <c r="H9" s="44" t="s">
        <v>105</v>
      </c>
    </row>
    <row r="10" spans="1:9" ht="13.5" customHeight="1">
      <c r="A10" s="19" t="s">
        <v>106</v>
      </c>
      <c r="B10" s="20">
        <v>11.72</v>
      </c>
      <c r="C10" s="20">
        <v>11.65</v>
      </c>
      <c r="D10" s="21">
        <f t="shared" si="0"/>
        <v>-7.0000000000000281E-4</v>
      </c>
      <c r="E10" s="46" t="str">
        <f t="shared" si="1"/>
        <v>Low risk</v>
      </c>
      <c r="I10" s="22"/>
    </row>
    <row r="11" spans="1:9" ht="13.5" customHeight="1">
      <c r="A11" s="19" t="s">
        <v>107</v>
      </c>
      <c r="B11" s="20">
        <v>238.9</v>
      </c>
      <c r="C11" s="20">
        <v>240.1</v>
      </c>
      <c r="D11" s="21">
        <f t="shared" si="0"/>
        <v>1.1999999999999886E-2</v>
      </c>
      <c r="E11" s="46" t="str">
        <f t="shared" si="1"/>
        <v>Moderate risk</v>
      </c>
    </row>
    <row r="12" spans="1:9" ht="13.5" customHeight="1">
      <c r="A12" s="19" t="s">
        <v>108</v>
      </c>
      <c r="B12" s="20">
        <v>89.5</v>
      </c>
      <c r="C12" s="20">
        <v>91.61</v>
      </c>
      <c r="D12" s="21">
        <f t="shared" si="0"/>
        <v>2.1099999999999994E-2</v>
      </c>
      <c r="E12" s="46" t="str">
        <f t="shared" si="1"/>
        <v>High risk</v>
      </c>
    </row>
    <row r="13" spans="1:9" ht="13.5" customHeight="1">
      <c r="A13" s="19" t="s">
        <v>109</v>
      </c>
      <c r="B13" s="20">
        <v>33.6</v>
      </c>
      <c r="C13" s="20">
        <v>32.950000000000003</v>
      </c>
      <c r="D13" s="21">
        <f t="shared" si="0"/>
        <v>-6.4999999999999858E-3</v>
      </c>
      <c r="E13" s="46" t="str">
        <f t="shared" si="1"/>
        <v>Moderate risk</v>
      </c>
    </row>
    <row r="14" spans="1:9" ht="13.5" customHeight="1">
      <c r="A14" s="19" t="s">
        <v>110</v>
      </c>
      <c r="B14" s="20">
        <v>51.4</v>
      </c>
      <c r="C14" s="20">
        <v>52.1</v>
      </c>
      <c r="D14" s="21">
        <f t="shared" si="0"/>
        <v>7.0000000000000288E-3</v>
      </c>
      <c r="E14" s="46" t="str">
        <f t="shared" si="1"/>
        <v>Moderate risk</v>
      </c>
    </row>
    <row r="15" spans="1:9" ht="13.5" customHeight="1">
      <c r="A15" s="19" t="s">
        <v>111</v>
      </c>
      <c r="B15" s="20">
        <v>74.25</v>
      </c>
      <c r="C15" s="20">
        <v>43.6</v>
      </c>
      <c r="D15" s="21">
        <f t="shared" si="0"/>
        <v>-0.30649999999999999</v>
      </c>
      <c r="E15" s="46" t="str">
        <f t="shared" si="1"/>
        <v>Moderate risk</v>
      </c>
    </row>
    <row r="16" spans="1:9" ht="13.5" customHeight="1">
      <c r="A16" s="19" t="s">
        <v>112</v>
      </c>
      <c r="B16" s="20">
        <v>126.8</v>
      </c>
      <c r="C16" s="20">
        <v>128.4</v>
      </c>
      <c r="D16" s="21">
        <f t="shared" si="0"/>
        <v>1.6000000000000084E-2</v>
      </c>
      <c r="E16" s="46" t="str">
        <f t="shared" si="1"/>
        <v>Moderate risk</v>
      </c>
    </row>
    <row r="17" spans="1:5" ht="13.5" customHeight="1">
      <c r="A17" s="19" t="s">
        <v>113</v>
      </c>
      <c r="B17" s="20">
        <v>18.350000000000001</v>
      </c>
      <c r="C17" s="20">
        <v>18.05</v>
      </c>
      <c r="D17" s="21">
        <f t="shared" si="0"/>
        <v>-3.000000000000007E-3</v>
      </c>
      <c r="E17" s="46" t="str">
        <f t="shared" si="1"/>
        <v>Low risk</v>
      </c>
    </row>
    <row r="18" spans="1:5" ht="13.5" customHeight="1">
      <c r="A18" s="19" t="s">
        <v>114</v>
      </c>
      <c r="B18" s="20">
        <v>42.1</v>
      </c>
      <c r="C18" s="20">
        <v>43.75</v>
      </c>
      <c r="D18" s="21">
        <f t="shared" si="0"/>
        <v>1.6499999999999987E-2</v>
      </c>
      <c r="E18" s="46" t="str">
        <f t="shared" si="1"/>
        <v>Moderate risk</v>
      </c>
    </row>
    <row r="19" spans="1:5" ht="13.5" customHeight="1">
      <c r="A19" s="19" t="s">
        <v>115</v>
      </c>
      <c r="B19" s="20">
        <v>307.5</v>
      </c>
      <c r="C19" s="20">
        <v>307.2</v>
      </c>
      <c r="D19" s="21">
        <f t="shared" si="0"/>
        <v>-3.0000000000001137E-3</v>
      </c>
      <c r="E19" s="46" t="str">
        <f t="shared" si="1"/>
        <v>Low risk</v>
      </c>
    </row>
    <row r="20" spans="1:5" ht="13.5" customHeight="1">
      <c r="A20" s="19" t="s">
        <v>116</v>
      </c>
      <c r="B20" s="20">
        <v>98.9</v>
      </c>
      <c r="C20" s="20">
        <v>97.6</v>
      </c>
      <c r="D20" s="21">
        <f t="shared" si="0"/>
        <v>-1.3000000000000114E-2</v>
      </c>
      <c r="E20" s="46" t="str">
        <f t="shared" si="1"/>
        <v>Moderate risk</v>
      </c>
    </row>
    <row r="21" spans="1:5" ht="13.5" customHeight="1">
      <c r="A21" s="19" t="s">
        <v>117</v>
      </c>
      <c r="B21" s="20">
        <v>57.4</v>
      </c>
      <c r="C21" s="20">
        <v>58.15</v>
      </c>
      <c r="D21" s="21">
        <f t="shared" si="0"/>
        <v>7.4999999999999997E-3</v>
      </c>
      <c r="E21" s="46" t="str">
        <f t="shared" si="1"/>
        <v>Moderate risk</v>
      </c>
    </row>
    <row r="22" spans="1:5" ht="13.5" customHeight="1">
      <c r="A22" s="19" t="s">
        <v>118</v>
      </c>
      <c r="B22" s="20">
        <v>44.25</v>
      </c>
      <c r="C22" s="20">
        <v>44.1</v>
      </c>
      <c r="D22" s="21">
        <f t="shared" si="0"/>
        <v>-1.4999999999999857E-3</v>
      </c>
      <c r="E22" s="46" t="str">
        <f t="shared" si="1"/>
        <v>Low risk</v>
      </c>
    </row>
    <row r="23" spans="1:5" ht="13.5" customHeight="1">
      <c r="A23" s="19" t="s">
        <v>119</v>
      </c>
      <c r="B23" s="20">
        <v>19.850000000000001</v>
      </c>
      <c r="C23" s="20">
        <v>20.65</v>
      </c>
      <c r="D23" s="21">
        <f t="shared" si="0"/>
        <v>7.9999999999999724E-3</v>
      </c>
      <c r="E23" s="46" t="str">
        <f t="shared" si="1"/>
        <v>Moderate risk</v>
      </c>
    </row>
    <row r="24" spans="1:5" ht="13.5" customHeight="1">
      <c r="A24" s="19" t="s">
        <v>120</v>
      </c>
      <c r="B24" s="20">
        <v>7.6</v>
      </c>
      <c r="C24" s="20">
        <v>7.45</v>
      </c>
      <c r="D24" s="21">
        <f t="shared" si="0"/>
        <v>-1.4999999999999946E-3</v>
      </c>
      <c r="E24" s="46" t="str">
        <f t="shared" si="1"/>
        <v>Low risk</v>
      </c>
    </row>
    <row r="25" spans="1:5" ht="13.5" customHeight="1">
      <c r="A25" s="19" t="s">
        <v>121</v>
      </c>
      <c r="B25" s="20">
        <v>68.150000000000006</v>
      </c>
      <c r="C25" s="20">
        <v>69.7</v>
      </c>
      <c r="D25" s="21">
        <f t="shared" si="0"/>
        <v>1.5499999999999972E-2</v>
      </c>
      <c r="E25" s="46" t="str">
        <f t="shared" si="1"/>
        <v>Moderate risk</v>
      </c>
    </row>
    <row r="26" spans="1:5" ht="13.5" customHeight="1">
      <c r="A26" s="19" t="s">
        <v>122</v>
      </c>
      <c r="B26" s="20">
        <v>22.9</v>
      </c>
      <c r="C26" s="20">
        <v>22.55</v>
      </c>
      <c r="D26" s="21">
        <f t="shared" si="0"/>
        <v>-3.4999999999999788E-3</v>
      </c>
      <c r="E26" s="46" t="str">
        <f t="shared" si="1"/>
        <v>Low risk</v>
      </c>
    </row>
    <row r="27" spans="1:5" ht="13.5" customHeight="1"/>
    <row r="28" spans="1:5" ht="13.5" customHeight="1"/>
    <row r="29" spans="1:5" ht="13.5" customHeight="1"/>
    <row r="30" spans="1:5" ht="13.5" customHeight="1"/>
    <row r="31" spans="1:5" ht="13.5" customHeight="1"/>
    <row r="32" spans="1:5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5:E5"/>
    <mergeCell ref="G5:H5"/>
    <mergeCell ref="A2:F3"/>
    <mergeCell ref="A1:F1"/>
  </mergeCells>
  <conditionalFormatting sqref="D7:D26">
    <cfRule type="cellIs" dxfId="7" priority="4" operator="lessThan">
      <formula>0</formula>
    </cfRule>
    <cfRule type="cellIs" dxfId="6" priority="5" operator="greaterThan">
      <formula>0</formula>
    </cfRule>
  </conditionalFormatting>
  <conditionalFormatting sqref="E7:E26">
    <cfRule type="containsText" dxfId="5" priority="1" operator="containsText" text="Low risk">
      <formula>NOT(ISERROR(SEARCH("Low risk",E7)))</formula>
    </cfRule>
    <cfRule type="containsText" dxfId="4" priority="2" operator="containsText" text="Moderate risk">
      <formula>NOT(ISERROR(SEARCH("Moderate risk",E7)))</formula>
    </cfRule>
    <cfRule type="containsText" dxfId="3" priority="3" operator="containsText" text="High risk">
      <formula>NOT(ISERROR(SEARCH("High risk",E7)))</formula>
    </cfRule>
  </conditionalFormatting>
  <conditionalFormatting sqref="H7:H9">
    <cfRule type="containsText" dxfId="2" priority="9" operator="containsText" text="Low risk">
      <formula>NOT(ISERROR(SEARCH("Low risk",H7)))</formula>
    </cfRule>
    <cfRule type="containsText" dxfId="1" priority="10" operator="containsText" text="Moderate risk">
      <formula>NOT(ISERROR(SEARCH("Moderate risk",H7)))</formula>
    </cfRule>
    <cfRule type="containsText" dxfId="0" priority="11" operator="containsText" text="High risk">
      <formula>NOT(ISERROR(SEARCH("High risk",H7)))</formula>
    </cfRule>
  </conditionalFormatting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showGridLines="0" tabSelected="1" zoomScaleNormal="100" workbookViewId="0">
      <selection activeCell="J14" sqref="J14"/>
    </sheetView>
  </sheetViews>
  <sheetFormatPr defaultColWidth="14.42578125" defaultRowHeight="15" customHeight="1"/>
  <cols>
    <col min="1" max="1" width="11.140625" customWidth="1"/>
    <col min="2" max="2" width="16.85546875" customWidth="1"/>
    <col min="3" max="3" width="17.28515625" customWidth="1"/>
    <col min="4" max="4" width="14.42578125" customWidth="1"/>
    <col min="5" max="5" width="20.28515625" customWidth="1"/>
    <col min="6" max="6" width="12.85546875" customWidth="1"/>
    <col min="7" max="7" width="9" customWidth="1"/>
    <col min="8" max="8" width="16.5703125" customWidth="1"/>
    <col min="9" max="10" width="9" customWidth="1"/>
    <col min="11" max="11" width="31.85546875" customWidth="1"/>
    <col min="12" max="26" width="11.140625" customWidth="1"/>
  </cols>
  <sheetData>
    <row r="1" spans="1:11" ht="15.75" customHeight="1">
      <c r="A1" s="107" t="s">
        <v>123</v>
      </c>
      <c r="B1" s="86"/>
      <c r="C1" s="87"/>
      <c r="E1" s="119" t="s">
        <v>124</v>
      </c>
      <c r="F1" s="110"/>
      <c r="G1" s="110"/>
      <c r="H1" s="111"/>
    </row>
    <row r="2" spans="1:11" ht="15.75" customHeight="1">
      <c r="A2" s="105" t="s">
        <v>125</v>
      </c>
      <c r="B2" s="83"/>
      <c r="C2" s="84"/>
      <c r="E2" s="123" t="s">
        <v>126</v>
      </c>
      <c r="F2" s="129"/>
      <c r="G2" s="124"/>
      <c r="H2" s="23">
        <v>0.12</v>
      </c>
    </row>
    <row r="3" spans="1:11" ht="15.75" customHeight="1">
      <c r="A3" s="91"/>
      <c r="B3" s="92"/>
      <c r="C3" s="93"/>
      <c r="E3" s="130" t="s">
        <v>127</v>
      </c>
      <c r="F3" s="131"/>
      <c r="G3" s="132"/>
      <c r="H3" s="48">
        <v>0.23</v>
      </c>
      <c r="I3" s="47"/>
      <c r="J3" s="47"/>
      <c r="K3" s="47"/>
    </row>
    <row r="4" spans="1:11" ht="15.75" customHeight="1">
      <c r="E4" s="118" t="s">
        <v>128</v>
      </c>
      <c r="F4" s="118"/>
      <c r="G4" s="118"/>
      <c r="H4" s="118"/>
      <c r="I4" s="118"/>
      <c r="J4" s="118"/>
      <c r="K4" s="118"/>
    </row>
    <row r="5" spans="1:11" ht="15.75" customHeight="1">
      <c r="A5" s="119" t="s">
        <v>129</v>
      </c>
      <c r="B5" s="110"/>
      <c r="C5" s="111"/>
      <c r="E5" s="58" t="s">
        <v>130</v>
      </c>
      <c r="F5" s="58" t="s">
        <v>131</v>
      </c>
      <c r="G5" s="47"/>
      <c r="J5" s="47"/>
      <c r="K5" s="47"/>
    </row>
    <row r="6" spans="1:11" ht="15.75" customHeight="1">
      <c r="A6" s="123" t="s">
        <v>132</v>
      </c>
      <c r="B6" s="124"/>
      <c r="C6" s="24">
        <v>35</v>
      </c>
      <c r="E6" s="18" t="s">
        <v>133</v>
      </c>
      <c r="F6" s="23">
        <v>0.03</v>
      </c>
      <c r="H6" s="59" t="s">
        <v>134</v>
      </c>
      <c r="I6" s="59" t="s">
        <v>131</v>
      </c>
    </row>
    <row r="7" spans="1:11" ht="15.75" customHeight="1">
      <c r="A7" s="123" t="s">
        <v>135</v>
      </c>
      <c r="B7" s="125"/>
      <c r="C7" s="24">
        <v>5</v>
      </c>
      <c r="E7" s="18" t="s">
        <v>136</v>
      </c>
      <c r="F7" s="23">
        <v>0.05</v>
      </c>
      <c r="H7" s="65" t="s">
        <v>137</v>
      </c>
      <c r="I7" s="49">
        <v>1000</v>
      </c>
    </row>
    <row r="8" spans="1:11" ht="15.75" customHeight="1">
      <c r="A8" s="123" t="s">
        <v>138</v>
      </c>
      <c r="B8" s="125"/>
      <c r="C8" s="25" t="s">
        <v>139</v>
      </c>
      <c r="E8" s="18" t="s">
        <v>140</v>
      </c>
      <c r="F8" s="23">
        <v>7.0000000000000007E-2</v>
      </c>
      <c r="H8" s="65" t="s">
        <v>141</v>
      </c>
      <c r="I8" s="49">
        <v>3000</v>
      </c>
    </row>
    <row r="9" spans="1:11" ht="15.75" customHeight="1">
      <c r="A9" s="126" t="s">
        <v>142</v>
      </c>
      <c r="B9" s="127"/>
      <c r="C9" s="128"/>
      <c r="E9" s="18" t="s">
        <v>143</v>
      </c>
      <c r="F9" s="23">
        <v>0.1</v>
      </c>
    </row>
    <row r="10" spans="1:11" ht="15.75" customHeight="1">
      <c r="E10" s="115" t="s">
        <v>144</v>
      </c>
      <c r="F10" s="121"/>
      <c r="G10" s="121"/>
      <c r="H10" s="122"/>
    </row>
    <row r="11" spans="1:11" ht="15.75" customHeight="1"/>
    <row r="12" spans="1:11" ht="15.75" customHeight="1">
      <c r="A12" s="120" t="s">
        <v>145</v>
      </c>
      <c r="B12" s="110"/>
      <c r="C12" s="110"/>
      <c r="D12" s="110"/>
      <c r="E12" s="110"/>
      <c r="F12" s="110"/>
      <c r="G12" s="110"/>
      <c r="H12" s="110"/>
      <c r="I12" s="110"/>
      <c r="J12" s="111"/>
    </row>
    <row r="13" spans="1:11" ht="42.75" customHeight="1">
      <c r="A13" s="56" t="s">
        <v>146</v>
      </c>
      <c r="B13" s="56" t="s">
        <v>134</v>
      </c>
      <c r="C13" s="57" t="s">
        <v>130</v>
      </c>
      <c r="D13" s="57" t="s">
        <v>147</v>
      </c>
      <c r="E13" s="57" t="s">
        <v>148</v>
      </c>
      <c r="F13" s="57" t="s">
        <v>149</v>
      </c>
      <c r="G13" s="137" t="s">
        <v>150</v>
      </c>
      <c r="H13" s="57" t="s">
        <v>151</v>
      </c>
      <c r="I13" s="57" t="s">
        <v>152</v>
      </c>
      <c r="J13" s="57" t="s">
        <v>153</v>
      </c>
    </row>
    <row r="14" spans="1:11" ht="15.75" customHeight="1">
      <c r="A14" s="26" t="s">
        <v>154</v>
      </c>
      <c r="B14" s="26" t="s">
        <v>155</v>
      </c>
      <c r="C14" s="26">
        <v>3</v>
      </c>
      <c r="D14" s="26">
        <v>140</v>
      </c>
      <c r="E14" s="27">
        <f t="shared" ref="E14:E22" si="0">D14*$C$6</f>
        <v>4900</v>
      </c>
      <c r="F14" s="28">
        <f>IF(B14="Engineer",1000,IF(B14="Master's Degree",3000,0))</f>
        <v>0</v>
      </c>
      <c r="G14" s="28">
        <f>IF(C14&gt;=20,E14*10%,IF(C14&gt;=15,E14*7%,IF(C14&gt;=10,E14*5%,IF(C14&gt;=5,E14*3%,0))))</f>
        <v>0</v>
      </c>
      <c r="H14" s="28">
        <f>IF(D14&gt;140,(D14-140)*5,0)</f>
        <v>0</v>
      </c>
      <c r="I14" s="28">
        <f>E14+F14+G14+H14</f>
        <v>4900</v>
      </c>
      <c r="J14" s="29">
        <f>IF(I14&lt;=5000,I14*(1-12%),(5000*(1-12%))+(I14-5000)*(1-23%))</f>
        <v>4312</v>
      </c>
    </row>
    <row r="15" spans="1:11" ht="15.75" customHeight="1">
      <c r="A15" s="26" t="s">
        <v>156</v>
      </c>
      <c r="B15" s="66" t="s">
        <v>137</v>
      </c>
      <c r="C15" s="26">
        <v>11</v>
      </c>
      <c r="D15" s="26">
        <v>140</v>
      </c>
      <c r="E15" s="27">
        <f t="shared" si="0"/>
        <v>4900</v>
      </c>
      <c r="F15" s="28">
        <f t="shared" ref="F15:F22" si="1">IF(B15="Engineer",1000,IF(B15="Master's Degree",3000,0))</f>
        <v>1000</v>
      </c>
      <c r="G15" s="28">
        <f t="shared" ref="G15:G22" si="2">IF(C15&gt;=20,E15*10%,IF(C15&gt;=15,E15*7%,IF(C15&gt;=10,E15*5%,IF(C15&gt;=5,E15*3%,0))))</f>
        <v>245</v>
      </c>
      <c r="H15" s="28">
        <f t="shared" ref="H15:H22" si="3">IF(D15&gt;140,(D15-140)*5,0)</f>
        <v>0</v>
      </c>
      <c r="I15" s="28">
        <f t="shared" ref="I15:I22" si="4">E15+F15+G15+H15</f>
        <v>6145</v>
      </c>
      <c r="J15" s="29">
        <f t="shared" ref="J15:J22" si="5">IF(I15&lt;=5000,I15*(1-12%),(5000*(1-12%))+(I15-5000)*(1-23%))</f>
        <v>5281.65</v>
      </c>
    </row>
    <row r="16" spans="1:11" ht="15.75" customHeight="1">
      <c r="A16" s="26" t="s">
        <v>157</v>
      </c>
      <c r="B16" s="66" t="s">
        <v>137</v>
      </c>
      <c r="C16" s="26">
        <v>7</v>
      </c>
      <c r="D16" s="26">
        <v>156</v>
      </c>
      <c r="E16" s="27">
        <f t="shared" si="0"/>
        <v>5460</v>
      </c>
      <c r="F16" s="28">
        <f t="shared" si="1"/>
        <v>1000</v>
      </c>
      <c r="G16" s="28">
        <f t="shared" si="2"/>
        <v>163.79999999999998</v>
      </c>
      <c r="H16" s="28">
        <f t="shared" si="3"/>
        <v>80</v>
      </c>
      <c r="I16" s="28">
        <f t="shared" si="4"/>
        <v>6703.8</v>
      </c>
      <c r="J16" s="29">
        <f t="shared" si="5"/>
        <v>5711.9260000000004</v>
      </c>
    </row>
    <row r="17" spans="1:10" ht="15.75" customHeight="1">
      <c r="A17" s="26" t="s">
        <v>158</v>
      </c>
      <c r="B17" s="26" t="s">
        <v>141</v>
      </c>
      <c r="C17" s="26">
        <v>24</v>
      </c>
      <c r="D17" s="26">
        <v>80</v>
      </c>
      <c r="E17" s="27">
        <f t="shared" si="0"/>
        <v>2800</v>
      </c>
      <c r="F17" s="28">
        <f t="shared" si="1"/>
        <v>3000</v>
      </c>
      <c r="G17" s="28">
        <f t="shared" si="2"/>
        <v>280</v>
      </c>
      <c r="H17" s="28">
        <f t="shared" si="3"/>
        <v>0</v>
      </c>
      <c r="I17" s="28">
        <f t="shared" si="4"/>
        <v>6080</v>
      </c>
      <c r="J17" s="29">
        <f t="shared" si="5"/>
        <v>5231.6000000000004</v>
      </c>
    </row>
    <row r="18" spans="1:10" ht="15.75" customHeight="1">
      <c r="A18" s="26" t="s">
        <v>159</v>
      </c>
      <c r="B18" s="26" t="s">
        <v>141</v>
      </c>
      <c r="C18" s="26">
        <v>2</v>
      </c>
      <c r="D18" s="26">
        <v>133</v>
      </c>
      <c r="E18" s="27">
        <f t="shared" si="0"/>
        <v>4655</v>
      </c>
      <c r="F18" s="28">
        <f t="shared" si="1"/>
        <v>3000</v>
      </c>
      <c r="G18" s="28">
        <f t="shared" si="2"/>
        <v>0</v>
      </c>
      <c r="H18" s="28">
        <f t="shared" si="3"/>
        <v>0</v>
      </c>
      <c r="I18" s="28">
        <f t="shared" si="4"/>
        <v>7655</v>
      </c>
      <c r="J18" s="29">
        <f t="shared" si="5"/>
        <v>6444.35</v>
      </c>
    </row>
    <row r="19" spans="1:10" ht="15.75" customHeight="1">
      <c r="A19" s="26" t="s">
        <v>160</v>
      </c>
      <c r="B19" s="26" t="s">
        <v>155</v>
      </c>
      <c r="C19" s="26">
        <v>0</v>
      </c>
      <c r="D19" s="26">
        <v>98</v>
      </c>
      <c r="E19" s="27">
        <f t="shared" si="0"/>
        <v>3430</v>
      </c>
      <c r="F19" s="28">
        <f t="shared" si="1"/>
        <v>0</v>
      </c>
      <c r="G19" s="28">
        <f t="shared" si="2"/>
        <v>0</v>
      </c>
      <c r="H19" s="28">
        <f t="shared" si="3"/>
        <v>0</v>
      </c>
      <c r="I19" s="28">
        <f t="shared" si="4"/>
        <v>3430</v>
      </c>
      <c r="J19" s="29">
        <f t="shared" si="5"/>
        <v>3018.4</v>
      </c>
    </row>
    <row r="20" spans="1:10" ht="15.75" customHeight="1">
      <c r="A20" s="26" t="s">
        <v>161</v>
      </c>
      <c r="B20" s="26" t="s">
        <v>137</v>
      </c>
      <c r="C20" s="26">
        <v>14</v>
      </c>
      <c r="D20" s="26">
        <v>63</v>
      </c>
      <c r="E20" s="27">
        <f t="shared" si="0"/>
        <v>2205</v>
      </c>
      <c r="F20" s="28">
        <f t="shared" si="1"/>
        <v>1000</v>
      </c>
      <c r="G20" s="28">
        <f t="shared" si="2"/>
        <v>110.25</v>
      </c>
      <c r="H20" s="28">
        <f t="shared" si="3"/>
        <v>0</v>
      </c>
      <c r="I20" s="28">
        <f t="shared" si="4"/>
        <v>3315.25</v>
      </c>
      <c r="J20" s="29">
        <f t="shared" si="5"/>
        <v>2917.42</v>
      </c>
    </row>
    <row r="21" spans="1:10" ht="15.75" customHeight="1">
      <c r="A21" s="26" t="s">
        <v>162</v>
      </c>
      <c r="B21" s="26" t="s">
        <v>141</v>
      </c>
      <c r="C21" s="26">
        <v>3</v>
      </c>
      <c r="D21" s="26">
        <v>145</v>
      </c>
      <c r="E21" s="27">
        <f t="shared" si="0"/>
        <v>5075</v>
      </c>
      <c r="F21" s="28">
        <f t="shared" si="1"/>
        <v>3000</v>
      </c>
      <c r="G21" s="28">
        <f t="shared" si="2"/>
        <v>0</v>
      </c>
      <c r="H21" s="28">
        <f t="shared" si="3"/>
        <v>25</v>
      </c>
      <c r="I21" s="28">
        <f t="shared" si="4"/>
        <v>8100</v>
      </c>
      <c r="J21" s="29">
        <f t="shared" si="5"/>
        <v>6787</v>
      </c>
    </row>
    <row r="22" spans="1:10" ht="15.75" customHeight="1">
      <c r="A22" s="26" t="s">
        <v>163</v>
      </c>
      <c r="B22" s="26" t="s">
        <v>137</v>
      </c>
      <c r="C22" s="26">
        <v>9</v>
      </c>
      <c r="D22" s="26">
        <v>140</v>
      </c>
      <c r="E22" s="27">
        <f t="shared" si="0"/>
        <v>4900</v>
      </c>
      <c r="F22" s="28">
        <f t="shared" si="1"/>
        <v>1000</v>
      </c>
      <c r="G22" s="28">
        <f t="shared" si="2"/>
        <v>147</v>
      </c>
      <c r="H22" s="28">
        <f t="shared" si="3"/>
        <v>0</v>
      </c>
      <c r="I22" s="28">
        <f t="shared" si="4"/>
        <v>6047</v>
      </c>
      <c r="J22" s="29">
        <f t="shared" si="5"/>
        <v>5206.1900000000005</v>
      </c>
    </row>
    <row r="23" spans="1:10" ht="15.75" customHeight="1">
      <c r="F23" s="115" t="s">
        <v>164</v>
      </c>
      <c r="G23" s="116"/>
      <c r="H23" s="116"/>
      <c r="I23" s="116"/>
      <c r="J23" s="117"/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F23:J23"/>
    <mergeCell ref="E4:K4"/>
    <mergeCell ref="A1:C1"/>
    <mergeCell ref="A2:C3"/>
    <mergeCell ref="A5:C5"/>
    <mergeCell ref="E1:H1"/>
    <mergeCell ref="A12:J12"/>
    <mergeCell ref="E10:H10"/>
    <mergeCell ref="A6:B6"/>
    <mergeCell ref="A7:B7"/>
    <mergeCell ref="A8:B8"/>
    <mergeCell ref="A9:C9"/>
    <mergeCell ref="E2:G2"/>
    <mergeCell ref="E3:G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39"/>
  <sheetViews>
    <sheetView zoomScale="85" zoomScaleNormal="85" workbookViewId="0">
      <selection activeCell="I15" sqref="I15"/>
    </sheetView>
  </sheetViews>
  <sheetFormatPr defaultColWidth="14.42578125" defaultRowHeight="15" customHeight="1"/>
  <cols>
    <col min="1" max="1" width="21.85546875" customWidth="1"/>
    <col min="5" max="5" width="11.7109375" customWidth="1"/>
    <col min="6" max="6" width="15.140625" customWidth="1"/>
  </cols>
  <sheetData>
    <row r="1" spans="1:7">
      <c r="A1" s="133" t="s">
        <v>165</v>
      </c>
      <c r="B1" s="134"/>
      <c r="C1" s="134"/>
      <c r="D1" s="134"/>
      <c r="E1" s="134"/>
      <c r="F1" s="134"/>
      <c r="G1" s="135"/>
    </row>
    <row r="2" spans="1:7" ht="14.25" customHeight="1">
      <c r="A2" s="78" t="s">
        <v>166</v>
      </c>
      <c r="B2" s="78"/>
      <c r="C2" s="78"/>
      <c r="D2" s="78"/>
      <c r="E2" s="78"/>
      <c r="F2" s="78"/>
      <c r="G2" s="78"/>
    </row>
    <row r="3" spans="1:7">
      <c r="A3" s="78"/>
      <c r="B3" s="78"/>
      <c r="C3" s="78"/>
      <c r="D3" s="78"/>
      <c r="E3" s="78"/>
      <c r="F3" s="78"/>
      <c r="G3" s="78"/>
    </row>
    <row r="4" spans="1:7">
      <c r="A4" s="78"/>
      <c r="B4" s="78"/>
      <c r="C4" s="78"/>
      <c r="D4" s="78"/>
      <c r="E4" s="78"/>
      <c r="F4" s="78"/>
      <c r="G4" s="78"/>
    </row>
    <row r="5" spans="1:7">
      <c r="A5" s="78"/>
      <c r="B5" s="78"/>
      <c r="C5" s="78"/>
      <c r="D5" s="78"/>
      <c r="E5" s="78"/>
      <c r="F5" s="78"/>
      <c r="G5" s="78"/>
    </row>
    <row r="6" spans="1:7">
      <c r="A6" s="78"/>
      <c r="B6" s="78"/>
      <c r="C6" s="78"/>
      <c r="D6" s="78"/>
      <c r="E6" s="78"/>
      <c r="F6" s="78"/>
      <c r="G6" s="78"/>
    </row>
    <row r="7" spans="1:7">
      <c r="A7" s="78"/>
      <c r="B7" s="78"/>
      <c r="C7" s="78"/>
      <c r="D7" s="78"/>
      <c r="E7" s="78"/>
      <c r="F7" s="78"/>
      <c r="G7" s="78"/>
    </row>
    <row r="8" spans="1:7">
      <c r="A8" s="78"/>
      <c r="B8" s="78"/>
      <c r="C8" s="78"/>
      <c r="D8" s="78"/>
      <c r="E8" s="78"/>
      <c r="F8" s="78"/>
      <c r="G8" s="78"/>
    </row>
    <row r="9" spans="1:7">
      <c r="A9" s="78"/>
      <c r="B9" s="78"/>
      <c r="C9" s="78"/>
      <c r="D9" s="78"/>
      <c r="E9" s="78"/>
      <c r="F9" s="78"/>
      <c r="G9" s="78"/>
    </row>
    <row r="10" spans="1:7">
      <c r="A10" s="78"/>
      <c r="B10" s="78"/>
      <c r="C10" s="78"/>
      <c r="D10" s="78"/>
      <c r="E10" s="78"/>
      <c r="F10" s="78"/>
      <c r="G10" s="78"/>
    </row>
    <row r="11" spans="1:7">
      <c r="A11" s="78"/>
      <c r="B11" s="78"/>
      <c r="C11" s="78"/>
      <c r="D11" s="78"/>
      <c r="E11" s="78"/>
      <c r="F11" s="78"/>
      <c r="G11" s="78"/>
    </row>
    <row r="12" spans="1:7">
      <c r="A12" s="78"/>
      <c r="B12" s="78"/>
      <c r="C12" s="78"/>
      <c r="D12" s="78"/>
      <c r="E12" s="78"/>
      <c r="F12" s="78"/>
      <c r="G12" s="78"/>
    </row>
    <row r="13" spans="1:7">
      <c r="A13" s="78"/>
      <c r="B13" s="78"/>
      <c r="C13" s="78"/>
      <c r="D13" s="78"/>
      <c r="E13" s="78"/>
      <c r="F13" s="78"/>
      <c r="G13" s="78"/>
    </row>
    <row r="14" spans="1:7">
      <c r="A14" s="78"/>
      <c r="B14" s="78"/>
      <c r="C14" s="78"/>
      <c r="D14" s="78"/>
      <c r="E14" s="78"/>
      <c r="F14" s="78"/>
      <c r="G14" s="78"/>
    </row>
    <row r="15" spans="1:7">
      <c r="A15" s="78"/>
      <c r="B15" s="78"/>
      <c r="C15" s="78"/>
      <c r="D15" s="78"/>
      <c r="E15" s="78"/>
      <c r="F15" s="78"/>
      <c r="G15" s="78"/>
    </row>
    <row r="18" spans="1:13">
      <c r="A18" s="51" t="s">
        <v>167</v>
      </c>
      <c r="B18" s="51" t="s">
        <v>168</v>
      </c>
      <c r="C18" s="51" t="s">
        <v>169</v>
      </c>
      <c r="D18" s="51" t="s">
        <v>170</v>
      </c>
      <c r="E18" s="51" t="s">
        <v>131</v>
      </c>
      <c r="F18" s="51" t="s">
        <v>171</v>
      </c>
      <c r="G18" s="51" t="s">
        <v>172</v>
      </c>
      <c r="H18" s="51" t="s">
        <v>173</v>
      </c>
      <c r="I18" s="51" t="s">
        <v>174</v>
      </c>
      <c r="J18" s="51" t="s">
        <v>175</v>
      </c>
      <c r="K18" s="51" t="s">
        <v>176</v>
      </c>
      <c r="L18" s="51" t="s">
        <v>177</v>
      </c>
      <c r="M18" s="51" t="s">
        <v>178</v>
      </c>
    </row>
    <row r="19" spans="1:13">
      <c r="A19" s="50" t="s">
        <v>179</v>
      </c>
      <c r="B19" s="50">
        <v>91</v>
      </c>
      <c r="C19" s="50">
        <v>1</v>
      </c>
      <c r="D19" s="50">
        <v>2</v>
      </c>
      <c r="E19" s="50" t="s">
        <v>180</v>
      </c>
      <c r="F19" s="50" t="s">
        <v>181</v>
      </c>
      <c r="G19" s="53" t="str">
        <f>IF(B19&gt;=210,"Master",IF(B19&gt;=90,"Pro",IF(B19&gt;=60,"Amateur","Novice")))</f>
        <v>Pro</v>
      </c>
      <c r="H19" s="53" t="str">
        <f>IF(B19&gt;100,"Advanced","Eliminated")</f>
        <v>Eliminated</v>
      </c>
      <c r="I19" s="53" t="str">
        <f>IF(AND(C19&gt;3,D19&lt;2),"Top Form","Average")</f>
        <v>Average</v>
      </c>
      <c r="J19" s="53" t="str">
        <f>IF(OR(B19&gt;100,E19="YES"),"YES","NO")</f>
        <v>YES</v>
      </c>
      <c r="K19" s="53" t="str">
        <f>IF(OR(AND(J19="YES",H19="Eliminated"),AND(J19="NO",H19="Advanced")),"Extra Points","None")</f>
        <v>Extra Points</v>
      </c>
      <c r="L19" s="53" t="str">
        <f>IF(F19="EU","EU","Other Region")</f>
        <v>EU</v>
      </c>
      <c r="M19" s="53">
        <f>IF(C19=0,"No Data",B19/C19)</f>
        <v>91</v>
      </c>
    </row>
    <row r="20" spans="1:13">
      <c r="A20" s="50" t="s">
        <v>182</v>
      </c>
      <c r="B20" s="50">
        <v>133</v>
      </c>
      <c r="C20" s="50">
        <v>3</v>
      </c>
      <c r="D20" s="50">
        <v>6</v>
      </c>
      <c r="E20" s="50" t="s">
        <v>183</v>
      </c>
      <c r="F20" s="50" t="s">
        <v>184</v>
      </c>
      <c r="G20" s="53" t="str">
        <f t="shared" ref="G20:G38" si="0">IF(B20&gt;=210,"Master",IF(B20&gt;=90,"Pro",IF(B20&gt;=60,"Amateur","Novice")))</f>
        <v>Pro</v>
      </c>
      <c r="H20" s="53" t="str">
        <f t="shared" ref="H20:H38" si="1">IF(B20&gt;100,"Advanced","Eliminated")</f>
        <v>Advanced</v>
      </c>
      <c r="I20" s="53" t="str">
        <f t="shared" ref="I20:I38" si="2">IF(AND(C20&gt;3,D20&lt;2),"Top Form","Average")</f>
        <v>Average</v>
      </c>
      <c r="J20" s="53" t="str">
        <f t="shared" ref="J20:J38" si="3">IF(OR(B20&gt;100,E20="YES"),"YES","NO")</f>
        <v>YES</v>
      </c>
      <c r="K20" s="53" t="str">
        <f t="shared" ref="K20:K38" si="4">IF(OR(AND(J20="YES",H20="Eliminated"),AND(J20="NO",H20="Advanced")),"Extra Points","None")</f>
        <v>None</v>
      </c>
      <c r="L20" s="53" t="str">
        <f t="shared" ref="L20:L38" si="5">IF(F20="EU","EU","Other Region")</f>
        <v>Other Region</v>
      </c>
      <c r="M20" s="138">
        <f t="shared" ref="M20:M38" si="6">IF(C20=0,"No Data",B20/C20)</f>
        <v>44.333333333333336</v>
      </c>
    </row>
    <row r="21" spans="1:13">
      <c r="A21" s="50" t="s">
        <v>185</v>
      </c>
      <c r="B21" s="50">
        <v>97</v>
      </c>
      <c r="C21" s="50">
        <v>3</v>
      </c>
      <c r="D21" s="50">
        <v>5</v>
      </c>
      <c r="E21" s="50" t="s">
        <v>183</v>
      </c>
      <c r="F21" s="50" t="s">
        <v>186</v>
      </c>
      <c r="G21" s="53" t="str">
        <f t="shared" si="0"/>
        <v>Pro</v>
      </c>
      <c r="H21" s="53" t="str">
        <f t="shared" si="1"/>
        <v>Eliminated</v>
      </c>
      <c r="I21" s="53" t="str">
        <f t="shared" si="2"/>
        <v>Average</v>
      </c>
      <c r="J21" s="53" t="str">
        <f t="shared" si="3"/>
        <v>NO</v>
      </c>
      <c r="K21" s="53" t="str">
        <f t="shared" si="4"/>
        <v>None</v>
      </c>
      <c r="L21" s="53" t="str">
        <f t="shared" si="5"/>
        <v>Other Region</v>
      </c>
      <c r="M21" s="138">
        <f t="shared" si="6"/>
        <v>32.333333333333336</v>
      </c>
    </row>
    <row r="22" spans="1:13" ht="15" customHeight="1">
      <c r="A22" s="50" t="s">
        <v>187</v>
      </c>
      <c r="B22" s="50">
        <v>107</v>
      </c>
      <c r="C22" s="50">
        <v>0</v>
      </c>
      <c r="D22" s="50">
        <v>2</v>
      </c>
      <c r="E22" s="50" t="s">
        <v>183</v>
      </c>
      <c r="F22" s="50" t="s">
        <v>188</v>
      </c>
      <c r="G22" s="53" t="str">
        <f t="shared" si="0"/>
        <v>Pro</v>
      </c>
      <c r="H22" s="53" t="str">
        <f t="shared" si="1"/>
        <v>Advanced</v>
      </c>
      <c r="I22" s="53" t="str">
        <f t="shared" si="2"/>
        <v>Average</v>
      </c>
      <c r="J22" s="53" t="str">
        <f t="shared" si="3"/>
        <v>YES</v>
      </c>
      <c r="K22" s="53" t="str">
        <f t="shared" si="4"/>
        <v>None</v>
      </c>
      <c r="L22" s="53" t="str">
        <f t="shared" si="5"/>
        <v>Other Region</v>
      </c>
      <c r="M22" s="138" t="str">
        <f t="shared" si="6"/>
        <v>No Data</v>
      </c>
    </row>
    <row r="23" spans="1:13" ht="15" customHeight="1">
      <c r="A23" s="50" t="s">
        <v>189</v>
      </c>
      <c r="B23" s="50">
        <v>92</v>
      </c>
      <c r="C23" s="50">
        <v>4</v>
      </c>
      <c r="D23" s="50">
        <v>6</v>
      </c>
      <c r="E23" s="50" t="s">
        <v>183</v>
      </c>
      <c r="F23" s="50" t="s">
        <v>184</v>
      </c>
      <c r="G23" s="53" t="str">
        <f t="shared" si="0"/>
        <v>Pro</v>
      </c>
      <c r="H23" s="53" t="str">
        <f t="shared" si="1"/>
        <v>Eliminated</v>
      </c>
      <c r="I23" s="53" t="str">
        <f t="shared" si="2"/>
        <v>Average</v>
      </c>
      <c r="J23" s="53" t="str">
        <f t="shared" si="3"/>
        <v>NO</v>
      </c>
      <c r="K23" s="53" t="str">
        <f t="shared" si="4"/>
        <v>None</v>
      </c>
      <c r="L23" s="53" t="str">
        <f t="shared" si="5"/>
        <v>Other Region</v>
      </c>
      <c r="M23" s="138">
        <f t="shared" si="6"/>
        <v>23</v>
      </c>
    </row>
    <row r="24" spans="1:13" ht="15" customHeight="1">
      <c r="A24" s="50" t="s">
        <v>190</v>
      </c>
      <c r="B24" s="50">
        <v>85</v>
      </c>
      <c r="C24" s="50">
        <v>2</v>
      </c>
      <c r="D24" s="50">
        <v>1</v>
      </c>
      <c r="E24" s="50" t="s">
        <v>183</v>
      </c>
      <c r="F24" s="50" t="s">
        <v>188</v>
      </c>
      <c r="G24" s="53" t="str">
        <f t="shared" si="0"/>
        <v>Amateur</v>
      </c>
      <c r="H24" s="53" t="str">
        <f t="shared" si="1"/>
        <v>Eliminated</v>
      </c>
      <c r="I24" s="53" t="str">
        <f t="shared" si="2"/>
        <v>Average</v>
      </c>
      <c r="J24" s="53" t="str">
        <f t="shared" si="3"/>
        <v>NO</v>
      </c>
      <c r="K24" s="53" t="str">
        <f t="shared" si="4"/>
        <v>None</v>
      </c>
      <c r="L24" s="53" t="str">
        <f t="shared" si="5"/>
        <v>Other Region</v>
      </c>
      <c r="M24" s="138">
        <f t="shared" si="6"/>
        <v>42.5</v>
      </c>
    </row>
    <row r="25" spans="1:13" ht="15" customHeight="1">
      <c r="A25" s="50" t="s">
        <v>191</v>
      </c>
      <c r="B25" s="50">
        <v>113</v>
      </c>
      <c r="C25" s="50">
        <v>6</v>
      </c>
      <c r="D25" s="50">
        <v>6</v>
      </c>
      <c r="E25" s="50" t="s">
        <v>183</v>
      </c>
      <c r="F25" s="50" t="s">
        <v>188</v>
      </c>
      <c r="G25" s="53" t="str">
        <f t="shared" si="0"/>
        <v>Pro</v>
      </c>
      <c r="H25" s="53" t="str">
        <f t="shared" si="1"/>
        <v>Advanced</v>
      </c>
      <c r="I25" s="53" t="str">
        <f t="shared" si="2"/>
        <v>Average</v>
      </c>
      <c r="J25" s="53" t="str">
        <f t="shared" si="3"/>
        <v>YES</v>
      </c>
      <c r="K25" s="53" t="str">
        <f t="shared" si="4"/>
        <v>None</v>
      </c>
      <c r="L25" s="53" t="str">
        <f t="shared" si="5"/>
        <v>Other Region</v>
      </c>
      <c r="M25" s="138">
        <f t="shared" si="6"/>
        <v>18.833333333333332</v>
      </c>
    </row>
    <row r="26" spans="1:13" ht="15" customHeight="1">
      <c r="A26" s="50" t="s">
        <v>192</v>
      </c>
      <c r="B26" s="50">
        <v>139</v>
      </c>
      <c r="C26" s="50">
        <v>5</v>
      </c>
      <c r="D26" s="50">
        <v>3</v>
      </c>
      <c r="E26" s="50" t="s">
        <v>180</v>
      </c>
      <c r="F26" s="50" t="s">
        <v>188</v>
      </c>
      <c r="G26" s="53" t="str">
        <f t="shared" si="0"/>
        <v>Pro</v>
      </c>
      <c r="H26" s="53" t="str">
        <f t="shared" si="1"/>
        <v>Advanced</v>
      </c>
      <c r="I26" s="53" t="str">
        <f t="shared" si="2"/>
        <v>Average</v>
      </c>
      <c r="J26" s="53" t="str">
        <f t="shared" si="3"/>
        <v>YES</v>
      </c>
      <c r="K26" s="53" t="str">
        <f t="shared" si="4"/>
        <v>None</v>
      </c>
      <c r="L26" s="53" t="str">
        <f t="shared" si="5"/>
        <v>Other Region</v>
      </c>
      <c r="M26" s="138">
        <f t="shared" si="6"/>
        <v>27.8</v>
      </c>
    </row>
    <row r="27" spans="1:13" ht="15" customHeight="1">
      <c r="A27" s="50" t="s">
        <v>193</v>
      </c>
      <c r="B27" s="50">
        <v>123</v>
      </c>
      <c r="C27" s="50">
        <v>4</v>
      </c>
      <c r="D27" s="50">
        <v>3</v>
      </c>
      <c r="E27" s="50" t="s">
        <v>183</v>
      </c>
      <c r="F27" s="50" t="s">
        <v>186</v>
      </c>
      <c r="G27" s="53" t="str">
        <f t="shared" si="0"/>
        <v>Pro</v>
      </c>
      <c r="H27" s="53" t="str">
        <f t="shared" si="1"/>
        <v>Advanced</v>
      </c>
      <c r="I27" s="53" t="str">
        <f t="shared" si="2"/>
        <v>Average</v>
      </c>
      <c r="J27" s="53" t="str">
        <f t="shared" si="3"/>
        <v>YES</v>
      </c>
      <c r="K27" s="53" t="str">
        <f t="shared" si="4"/>
        <v>None</v>
      </c>
      <c r="L27" s="53" t="str">
        <f t="shared" si="5"/>
        <v>Other Region</v>
      </c>
      <c r="M27" s="138">
        <f t="shared" si="6"/>
        <v>30.75</v>
      </c>
    </row>
    <row r="28" spans="1:13" ht="15" customHeight="1">
      <c r="A28" s="50" t="s">
        <v>194</v>
      </c>
      <c r="B28" s="50">
        <v>46</v>
      </c>
      <c r="C28" s="50">
        <v>4</v>
      </c>
      <c r="D28" s="50">
        <v>6</v>
      </c>
      <c r="E28" s="50" t="s">
        <v>183</v>
      </c>
      <c r="F28" s="50" t="s">
        <v>184</v>
      </c>
      <c r="G28" s="53" t="str">
        <f t="shared" si="0"/>
        <v>Novice</v>
      </c>
      <c r="H28" s="53" t="str">
        <f t="shared" si="1"/>
        <v>Eliminated</v>
      </c>
      <c r="I28" s="53" t="str">
        <f t="shared" si="2"/>
        <v>Average</v>
      </c>
      <c r="J28" s="53" t="str">
        <f t="shared" si="3"/>
        <v>NO</v>
      </c>
      <c r="K28" s="53" t="str">
        <f t="shared" si="4"/>
        <v>None</v>
      </c>
      <c r="L28" s="53" t="str">
        <f t="shared" si="5"/>
        <v>Other Region</v>
      </c>
      <c r="M28" s="138">
        <f t="shared" si="6"/>
        <v>11.5</v>
      </c>
    </row>
    <row r="29" spans="1:13" ht="15" customHeight="1">
      <c r="A29" s="50" t="s">
        <v>195</v>
      </c>
      <c r="B29" s="50">
        <v>85</v>
      </c>
      <c r="C29" s="50">
        <v>7</v>
      </c>
      <c r="D29" s="50">
        <v>4</v>
      </c>
      <c r="E29" s="50" t="s">
        <v>183</v>
      </c>
      <c r="F29" s="50" t="s">
        <v>184</v>
      </c>
      <c r="G29" s="53" t="str">
        <f t="shared" si="0"/>
        <v>Amateur</v>
      </c>
      <c r="H29" s="53" t="str">
        <f t="shared" si="1"/>
        <v>Eliminated</v>
      </c>
      <c r="I29" s="53" t="str">
        <f t="shared" si="2"/>
        <v>Average</v>
      </c>
      <c r="J29" s="53" t="str">
        <f t="shared" si="3"/>
        <v>NO</v>
      </c>
      <c r="K29" s="53" t="str">
        <f t="shared" si="4"/>
        <v>None</v>
      </c>
      <c r="L29" s="53" t="str">
        <f t="shared" si="5"/>
        <v>Other Region</v>
      </c>
      <c r="M29" s="138">
        <f t="shared" si="6"/>
        <v>12.142857142857142</v>
      </c>
    </row>
    <row r="30" spans="1:13" ht="15" customHeight="1">
      <c r="A30" s="50" t="s">
        <v>196</v>
      </c>
      <c r="B30" s="50">
        <v>102</v>
      </c>
      <c r="C30" s="50">
        <v>7</v>
      </c>
      <c r="D30" s="50">
        <v>5</v>
      </c>
      <c r="E30" s="50" t="s">
        <v>180</v>
      </c>
      <c r="F30" s="50" t="s">
        <v>184</v>
      </c>
      <c r="G30" s="53" t="str">
        <f t="shared" si="0"/>
        <v>Pro</v>
      </c>
      <c r="H30" s="53" t="str">
        <f t="shared" si="1"/>
        <v>Advanced</v>
      </c>
      <c r="I30" s="53" t="str">
        <f t="shared" si="2"/>
        <v>Average</v>
      </c>
      <c r="J30" s="53" t="str">
        <f t="shared" si="3"/>
        <v>YES</v>
      </c>
      <c r="K30" s="53" t="str">
        <f t="shared" si="4"/>
        <v>None</v>
      </c>
      <c r="L30" s="53" t="str">
        <f t="shared" si="5"/>
        <v>Other Region</v>
      </c>
      <c r="M30" s="138">
        <f t="shared" si="6"/>
        <v>14.571428571428571</v>
      </c>
    </row>
    <row r="31" spans="1:13" ht="15" customHeight="1">
      <c r="A31" s="50" t="s">
        <v>197</v>
      </c>
      <c r="B31" s="50">
        <v>40</v>
      </c>
      <c r="C31" s="50">
        <v>2</v>
      </c>
      <c r="D31" s="50">
        <v>5</v>
      </c>
      <c r="E31" s="50" t="s">
        <v>183</v>
      </c>
      <c r="F31" s="50" t="s">
        <v>181</v>
      </c>
      <c r="G31" s="53" t="str">
        <f t="shared" si="0"/>
        <v>Novice</v>
      </c>
      <c r="H31" s="53" t="str">
        <f t="shared" si="1"/>
        <v>Eliminated</v>
      </c>
      <c r="I31" s="53" t="str">
        <f t="shared" si="2"/>
        <v>Average</v>
      </c>
      <c r="J31" s="53" t="str">
        <f t="shared" si="3"/>
        <v>NO</v>
      </c>
      <c r="K31" s="53" t="str">
        <f t="shared" si="4"/>
        <v>None</v>
      </c>
      <c r="L31" s="53" t="str">
        <f t="shared" si="5"/>
        <v>EU</v>
      </c>
      <c r="M31" s="138">
        <f t="shared" si="6"/>
        <v>20</v>
      </c>
    </row>
    <row r="32" spans="1:13" ht="15" customHeight="1">
      <c r="A32" s="50" t="s">
        <v>198</v>
      </c>
      <c r="B32" s="50">
        <v>108</v>
      </c>
      <c r="C32" s="50">
        <v>0</v>
      </c>
      <c r="D32" s="50">
        <v>6</v>
      </c>
      <c r="E32" s="50" t="s">
        <v>183</v>
      </c>
      <c r="F32" s="50" t="s">
        <v>184</v>
      </c>
      <c r="G32" s="53" t="str">
        <f t="shared" si="0"/>
        <v>Pro</v>
      </c>
      <c r="H32" s="53" t="str">
        <f t="shared" si="1"/>
        <v>Advanced</v>
      </c>
      <c r="I32" s="53" t="str">
        <f t="shared" si="2"/>
        <v>Average</v>
      </c>
      <c r="J32" s="53" t="str">
        <f t="shared" si="3"/>
        <v>YES</v>
      </c>
      <c r="K32" s="53" t="str">
        <f t="shared" si="4"/>
        <v>None</v>
      </c>
      <c r="L32" s="53" t="str">
        <f t="shared" si="5"/>
        <v>Other Region</v>
      </c>
      <c r="M32" s="138" t="str">
        <f t="shared" si="6"/>
        <v>No Data</v>
      </c>
    </row>
    <row r="33" spans="1:13" ht="15" customHeight="1">
      <c r="A33" s="50" t="s">
        <v>199</v>
      </c>
      <c r="B33" s="50">
        <v>47</v>
      </c>
      <c r="C33" s="50">
        <v>7</v>
      </c>
      <c r="D33" s="50">
        <v>5</v>
      </c>
      <c r="E33" s="50" t="s">
        <v>180</v>
      </c>
      <c r="F33" s="50" t="s">
        <v>188</v>
      </c>
      <c r="G33" s="53" t="str">
        <f t="shared" si="0"/>
        <v>Novice</v>
      </c>
      <c r="H33" s="53" t="str">
        <f t="shared" si="1"/>
        <v>Eliminated</v>
      </c>
      <c r="I33" s="53" t="str">
        <f t="shared" si="2"/>
        <v>Average</v>
      </c>
      <c r="J33" s="53" t="str">
        <f t="shared" si="3"/>
        <v>YES</v>
      </c>
      <c r="K33" s="53" t="str">
        <f t="shared" si="4"/>
        <v>Extra Points</v>
      </c>
      <c r="L33" s="53" t="str">
        <f t="shared" si="5"/>
        <v>Other Region</v>
      </c>
      <c r="M33" s="138">
        <f t="shared" si="6"/>
        <v>6.7142857142857144</v>
      </c>
    </row>
    <row r="34" spans="1:13" ht="15" customHeight="1">
      <c r="A34" s="50" t="s">
        <v>200</v>
      </c>
      <c r="B34" s="50">
        <v>64</v>
      </c>
      <c r="C34" s="50">
        <v>0</v>
      </c>
      <c r="D34" s="50">
        <v>5</v>
      </c>
      <c r="E34" s="50" t="s">
        <v>180</v>
      </c>
      <c r="F34" s="50" t="s">
        <v>186</v>
      </c>
      <c r="G34" s="53" t="str">
        <f t="shared" si="0"/>
        <v>Amateur</v>
      </c>
      <c r="H34" s="53" t="str">
        <f t="shared" si="1"/>
        <v>Eliminated</v>
      </c>
      <c r="I34" s="53" t="str">
        <f t="shared" si="2"/>
        <v>Average</v>
      </c>
      <c r="J34" s="53" t="str">
        <f t="shared" si="3"/>
        <v>YES</v>
      </c>
      <c r="K34" s="53" t="str">
        <f t="shared" si="4"/>
        <v>Extra Points</v>
      </c>
      <c r="L34" s="53" t="str">
        <f t="shared" si="5"/>
        <v>Other Region</v>
      </c>
      <c r="M34" s="138" t="str">
        <f t="shared" si="6"/>
        <v>No Data</v>
      </c>
    </row>
    <row r="35" spans="1:13" ht="15" customHeight="1">
      <c r="A35" s="50" t="s">
        <v>201</v>
      </c>
      <c r="B35" s="50">
        <v>137</v>
      </c>
      <c r="C35" s="50">
        <v>6</v>
      </c>
      <c r="D35" s="50">
        <v>3</v>
      </c>
      <c r="E35" s="50" t="s">
        <v>183</v>
      </c>
      <c r="F35" s="50" t="s">
        <v>184</v>
      </c>
      <c r="G35" s="53" t="str">
        <f t="shared" si="0"/>
        <v>Pro</v>
      </c>
      <c r="H35" s="53" t="str">
        <f t="shared" si="1"/>
        <v>Advanced</v>
      </c>
      <c r="I35" s="53" t="str">
        <f t="shared" si="2"/>
        <v>Average</v>
      </c>
      <c r="J35" s="53" t="str">
        <f t="shared" si="3"/>
        <v>YES</v>
      </c>
      <c r="K35" s="53" t="str">
        <f t="shared" si="4"/>
        <v>None</v>
      </c>
      <c r="L35" s="53" t="str">
        <f t="shared" si="5"/>
        <v>Other Region</v>
      </c>
      <c r="M35" s="138">
        <f t="shared" si="6"/>
        <v>22.833333333333332</v>
      </c>
    </row>
    <row r="36" spans="1:13" ht="15" customHeight="1">
      <c r="A36" s="50" t="s">
        <v>202</v>
      </c>
      <c r="B36" s="50">
        <v>55</v>
      </c>
      <c r="C36" s="50">
        <v>5</v>
      </c>
      <c r="D36" s="50">
        <v>2</v>
      </c>
      <c r="E36" s="50" t="s">
        <v>180</v>
      </c>
      <c r="F36" s="50" t="s">
        <v>188</v>
      </c>
      <c r="G36" s="53" t="str">
        <f t="shared" si="0"/>
        <v>Novice</v>
      </c>
      <c r="H36" s="53" t="str">
        <f t="shared" si="1"/>
        <v>Eliminated</v>
      </c>
      <c r="I36" s="53" t="str">
        <f t="shared" si="2"/>
        <v>Average</v>
      </c>
      <c r="J36" s="53" t="str">
        <f t="shared" si="3"/>
        <v>YES</v>
      </c>
      <c r="K36" s="53" t="str">
        <f t="shared" si="4"/>
        <v>Extra Points</v>
      </c>
      <c r="L36" s="53" t="str">
        <f t="shared" si="5"/>
        <v>Other Region</v>
      </c>
      <c r="M36" s="138">
        <f t="shared" si="6"/>
        <v>11</v>
      </c>
    </row>
    <row r="37" spans="1:13" ht="15" customHeight="1">
      <c r="A37" s="50" t="s">
        <v>203</v>
      </c>
      <c r="B37" s="50">
        <v>79</v>
      </c>
      <c r="C37" s="50">
        <v>0</v>
      </c>
      <c r="D37" s="50">
        <v>2</v>
      </c>
      <c r="E37" s="50" t="s">
        <v>180</v>
      </c>
      <c r="F37" s="50" t="s">
        <v>188</v>
      </c>
      <c r="G37" s="53" t="str">
        <f t="shared" si="0"/>
        <v>Amateur</v>
      </c>
      <c r="H37" s="53" t="str">
        <f t="shared" si="1"/>
        <v>Eliminated</v>
      </c>
      <c r="I37" s="53" t="str">
        <f t="shared" si="2"/>
        <v>Average</v>
      </c>
      <c r="J37" s="53" t="str">
        <f t="shared" si="3"/>
        <v>YES</v>
      </c>
      <c r="K37" s="53" t="str">
        <f t="shared" si="4"/>
        <v>Extra Points</v>
      </c>
      <c r="L37" s="53" t="str">
        <f t="shared" si="5"/>
        <v>Other Region</v>
      </c>
      <c r="M37" s="138" t="str">
        <f t="shared" si="6"/>
        <v>No Data</v>
      </c>
    </row>
    <row r="38" spans="1:13" ht="15" customHeight="1">
      <c r="A38" s="50" t="s">
        <v>204</v>
      </c>
      <c r="B38" s="50">
        <v>141</v>
      </c>
      <c r="C38" s="50">
        <v>6</v>
      </c>
      <c r="D38" s="50">
        <v>2</v>
      </c>
      <c r="E38" s="50" t="s">
        <v>183</v>
      </c>
      <c r="F38" s="50" t="s">
        <v>184</v>
      </c>
      <c r="G38" s="53" t="str">
        <f t="shared" si="0"/>
        <v>Pro</v>
      </c>
      <c r="H38" s="53" t="str">
        <f t="shared" si="1"/>
        <v>Advanced</v>
      </c>
      <c r="I38" s="53" t="str">
        <f t="shared" si="2"/>
        <v>Average</v>
      </c>
      <c r="J38" s="53" t="str">
        <f t="shared" si="3"/>
        <v>YES</v>
      </c>
      <c r="K38" s="53" t="str">
        <f t="shared" si="4"/>
        <v>None</v>
      </c>
      <c r="L38" s="53" t="str">
        <f t="shared" si="5"/>
        <v>Other Region</v>
      </c>
      <c r="M38" s="138">
        <f t="shared" si="6"/>
        <v>23.5</v>
      </c>
    </row>
    <row r="39" spans="1:13" ht="15" customHeight="1">
      <c r="A39" s="54" t="s">
        <v>205</v>
      </c>
      <c r="B39" s="52">
        <f>COUNTIF(B19:B38,"&gt;100")</f>
        <v>9</v>
      </c>
      <c r="E39" s="54" t="s">
        <v>206</v>
      </c>
      <c r="F39" s="52">
        <f>SUMIF(F19:F38,"EU",B19:B38)</f>
        <v>131</v>
      </c>
    </row>
  </sheetData>
  <mergeCells count="2">
    <mergeCell ref="A2:G15"/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471dce6-e48c-4a5e-b202-ee3273149f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B1D2A8B19B1A4EA212F1B9F62FAF76" ma:contentTypeVersion="4" ma:contentTypeDescription="Utwórz nowy dokument." ma:contentTypeScope="" ma:versionID="efffeaa0d132991ca2cfcbeea8968e18">
  <xsd:schema xmlns:xsd="http://www.w3.org/2001/XMLSchema" xmlns:xs="http://www.w3.org/2001/XMLSchema" xmlns:p="http://schemas.microsoft.com/office/2006/metadata/properties" xmlns:ns2="5471dce6-e48c-4a5e-b202-ee3273149f5f" targetNamespace="http://schemas.microsoft.com/office/2006/metadata/properties" ma:root="true" ma:fieldsID="c26c4c6a5dced9f08eddd03bc7f4bb75" ns2:_="">
    <xsd:import namespace="5471dce6-e48c-4a5e-b202-ee3273149f5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1dce6-e48c-4a5e-b202-ee3273149f5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C0C33-EF5E-46DA-A4C0-A6284A88D9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0BC6FD-8FFA-4CA7-A3BE-99B4D5957E3D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471dce6-e48c-4a5e-b202-ee3273149f5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05559BB-4FFF-4616-94E3-C72DC896E1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1dce6-e48c-4a5e-b202-ee3273149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Basics</vt:lpstr>
      <vt:lpstr>Errors</vt:lpstr>
      <vt:lpstr>Citizenship</vt:lpstr>
      <vt:lpstr>Restaurants</vt:lpstr>
      <vt:lpstr>Flowchart</vt:lpstr>
      <vt:lpstr>Stock exchange shares</vt:lpstr>
      <vt:lpstr>Employee salaries</vt:lpstr>
      <vt:lpstr>Gaming tournament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Zabicki</dc:creator>
  <cp:keywords/>
  <dc:description/>
  <cp:lastModifiedBy>Maksym Lysenkov</cp:lastModifiedBy>
  <cp:revision/>
  <dcterms:created xsi:type="dcterms:W3CDTF">2025-10-14T10:51:06Z</dcterms:created>
  <dcterms:modified xsi:type="dcterms:W3CDTF">2025-10-22T12:43:50Z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0x0101007AB1D2A8B19B1A4EA212F1B9F62FAF76</vt:lpwstr>
  </property>
</Properties>
</file>